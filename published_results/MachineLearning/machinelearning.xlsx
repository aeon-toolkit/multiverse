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otonac-my.sharepoint.com/personal/ajb2u23_soton_ac_uk/Documents/Research/Papers/2026/Tony MTSC ACM Surveys/Results/MachineLearning/"/>
    </mc:Choice>
  </mc:AlternateContent>
  <xr:revisionPtr revIDLastSave="90" documentId="11_F25DC773A252ABDACC1048CE49DD57065ADE58E7" xr6:coauthVersionLast="47" xr6:coauthVersionMax="47" xr10:uidLastSave="{E635C5B9-7BC5-41CE-A1E4-F8659763F76A}"/>
  <bookViews>
    <workbookView xWindow="11400" yWindow="4580" windowWidth="25420" windowHeight="160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I3" i="2"/>
  <c r="J3" i="2"/>
  <c r="K3" i="2"/>
  <c r="L3" i="2"/>
  <c r="H4" i="2"/>
  <c r="I4" i="2"/>
  <c r="J4" i="2"/>
  <c r="K4" i="2"/>
  <c r="L4" i="2"/>
  <c r="H5" i="2"/>
  <c r="I5" i="2"/>
  <c r="J5" i="2"/>
  <c r="K5" i="2"/>
  <c r="L5" i="2"/>
  <c r="H6" i="2"/>
  <c r="I6" i="2"/>
  <c r="J6" i="2"/>
  <c r="K6" i="2"/>
  <c r="L6" i="2"/>
  <c r="H7" i="2"/>
  <c r="I7" i="2"/>
  <c r="J7" i="2"/>
  <c r="K7" i="2"/>
  <c r="L7" i="2"/>
  <c r="H8" i="2"/>
  <c r="I8" i="2"/>
  <c r="J8" i="2"/>
  <c r="K8" i="2"/>
  <c r="L8" i="2"/>
  <c r="H9" i="2"/>
  <c r="I9" i="2"/>
  <c r="J9" i="2"/>
  <c r="K9" i="2"/>
  <c r="L9" i="2"/>
  <c r="H10" i="2"/>
  <c r="I10" i="2"/>
  <c r="J10" i="2"/>
  <c r="K10" i="2"/>
  <c r="L10" i="2"/>
  <c r="H11" i="2"/>
  <c r="I11" i="2"/>
  <c r="J11" i="2"/>
  <c r="K11" i="2"/>
  <c r="L11" i="2"/>
  <c r="H12" i="2"/>
  <c r="I12" i="2"/>
  <c r="J12" i="2"/>
  <c r="K12" i="2"/>
  <c r="L12" i="2"/>
  <c r="H13" i="2"/>
  <c r="I13" i="2"/>
  <c r="J13" i="2"/>
  <c r="K13" i="2"/>
  <c r="L13" i="2"/>
  <c r="H14" i="2"/>
  <c r="I14" i="2"/>
  <c r="J14" i="2"/>
  <c r="K14" i="2"/>
  <c r="L14" i="2"/>
  <c r="H15" i="2"/>
  <c r="I15" i="2"/>
  <c r="J15" i="2"/>
  <c r="K15" i="2"/>
  <c r="L15" i="2"/>
  <c r="H16" i="2"/>
  <c r="I16" i="2"/>
  <c r="J16" i="2"/>
  <c r="K16" i="2"/>
  <c r="L16" i="2"/>
  <c r="H17" i="2"/>
  <c r="I17" i="2"/>
  <c r="J17" i="2"/>
  <c r="K17" i="2"/>
  <c r="L17" i="2"/>
  <c r="H18" i="2"/>
  <c r="I18" i="2"/>
  <c r="J18" i="2"/>
  <c r="K18" i="2"/>
  <c r="L18" i="2"/>
  <c r="H19" i="2"/>
  <c r="I19" i="2"/>
  <c r="J19" i="2"/>
  <c r="K19" i="2"/>
  <c r="L19" i="2"/>
  <c r="H20" i="2"/>
  <c r="I20" i="2"/>
  <c r="J20" i="2"/>
  <c r="K20" i="2"/>
  <c r="L20" i="2"/>
  <c r="H21" i="2"/>
  <c r="I21" i="2"/>
  <c r="J21" i="2"/>
  <c r="K21" i="2"/>
  <c r="L21" i="2"/>
  <c r="H22" i="2"/>
  <c r="I22" i="2"/>
  <c r="J22" i="2"/>
  <c r="K22" i="2"/>
  <c r="L22" i="2"/>
  <c r="H23" i="2"/>
  <c r="I23" i="2"/>
  <c r="J23" i="2"/>
  <c r="K23" i="2"/>
  <c r="L23" i="2"/>
  <c r="H24" i="2"/>
  <c r="I24" i="2"/>
  <c r="J24" i="2"/>
  <c r="K24" i="2"/>
  <c r="L24" i="2"/>
  <c r="H25" i="2"/>
  <c r="I25" i="2"/>
  <c r="J25" i="2"/>
  <c r="K25" i="2"/>
  <c r="L25" i="2"/>
  <c r="H26" i="2"/>
  <c r="I26" i="2"/>
  <c r="J26" i="2"/>
  <c r="K26" i="2"/>
  <c r="L26" i="2"/>
  <c r="H27" i="2"/>
  <c r="I27" i="2"/>
  <c r="J27" i="2"/>
  <c r="K27" i="2"/>
  <c r="L27" i="2"/>
  <c r="I2" i="2"/>
  <c r="J2" i="2"/>
  <c r="K2" i="2"/>
  <c r="L2" i="2"/>
  <c r="H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" i="2"/>
  <c r="D2" i="2"/>
  <c r="B2" i="2"/>
  <c r="F29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B29" i="2"/>
  <c r="N29" i="1"/>
  <c r="B29" i="1"/>
  <c r="C29" i="2" l="1"/>
  <c r="E29" i="2"/>
  <c r="D29" i="2"/>
  <c r="K29" i="2" l="1"/>
  <c r="L29" i="2"/>
  <c r="I29" i="2"/>
  <c r="H29" i="2"/>
  <c r="J29" i="2"/>
</calcChain>
</file>

<file path=xl/sharedStrings.xml><?xml version="1.0" encoding="utf-8"?>
<sst xmlns="http://schemas.openxmlformats.org/spreadsheetml/2006/main" count="315" uniqueCount="176">
  <si>
    <t>Resamples:</t>
  </si>
  <si>
    <t>ArticularyWordRecognition</t>
  </si>
  <si>
    <t>AtrialFibrillation</t>
  </si>
  <si>
    <t>BasicMotions</t>
  </si>
  <si>
    <t>Cricket</t>
  </si>
  <si>
    <t>DuckDuckGeese</t>
  </si>
  <si>
    <t>ERing</t>
  </si>
  <si>
    <t>EigenWorms</t>
  </si>
  <si>
    <t>Epilepsy</t>
  </si>
  <si>
    <t>EthanolConcentration</t>
  </si>
  <si>
    <t>FaceDetection</t>
  </si>
  <si>
    <t>FingerMovements</t>
  </si>
  <si>
    <t>HandMovementDirection</t>
  </si>
  <si>
    <t>Handwriting</t>
  </si>
  <si>
    <t>Heartbeat</t>
  </si>
  <si>
    <t>LSST</t>
  </si>
  <si>
    <t>Libras</t>
  </si>
  <si>
    <t>MotorImagery</t>
  </si>
  <si>
    <t>NATOPS</t>
  </si>
  <si>
    <t>PEMS-SF</t>
  </si>
  <si>
    <t>PenDigits</t>
  </si>
  <si>
    <t>PhonemeSpectra</t>
  </si>
  <si>
    <t>RacketSports</t>
  </si>
  <si>
    <t>SelfRegulationSCP1</t>
  </si>
  <si>
    <t>SelfRegulationSCP2</t>
  </si>
  <si>
    <t>StandWalkJump</t>
  </si>
  <si>
    <t>UWaveGestureLibrary</t>
  </si>
  <si>
    <t>HC2</t>
  </si>
  <si>
    <t>CMFM_RF</t>
  </si>
  <si>
    <t>CharacterTrajectories</t>
  </si>
  <si>
    <t>InsectWingbeat</t>
  </si>
  <si>
    <t>JapaneseVowels</t>
  </si>
  <si>
    <t>SpokenArabicDigits</t>
  </si>
  <si>
    <t>RT_100</t>
  </si>
  <si>
    <t>Bahri2022RT</t>
  </si>
  <si>
    <t>Baldan2021CMFMTS</t>
  </si>
  <si>
    <t>Middlehurst21hc2</t>
  </si>
  <si>
    <t>BORF</t>
  </si>
  <si>
    <t>ACSF1</t>
  </si>
  <si>
    <t>Adiac</t>
  </si>
  <si>
    <t>AGW-X</t>
  </si>
  <si>
    <t>AGW-Y</t>
  </si>
  <si>
    <t>AGW-Z</t>
  </si>
  <si>
    <t>ArrowHead</t>
  </si>
  <si>
    <t>BME</t>
  </si>
  <si>
    <t>Beef</t>
  </si>
  <si>
    <t>BeetleFly</t>
  </si>
  <si>
    <t>BirdChick</t>
  </si>
  <si>
    <t>CBF</t>
  </si>
  <si>
    <t>Car</t>
  </si>
  <si>
    <t>CharTraj</t>
  </si>
  <si>
    <t>Chinatown</t>
  </si>
  <si>
    <t>ChiConc</t>
  </si>
  <si>
    <t>CinCECGTorso</t>
  </si>
  <si>
    <t>Coffee</t>
  </si>
  <si>
    <t>Computers</t>
  </si>
  <si>
    <t>CricketX</t>
  </si>
  <si>
    <t>CricketY</t>
  </si>
  <si>
    <t>CricketZ</t>
  </si>
  <si>
    <t>Crop</t>
  </si>
  <si>
    <t>DiatomSR</t>
  </si>
  <si>
    <t>DP-OAG</t>
  </si>
  <si>
    <t>DP-OC</t>
  </si>
  <si>
    <t>DP-TW</t>
  </si>
  <si>
    <t>DodgerLoopDay</t>
  </si>
  <si>
    <t>DodgerLoopGame</t>
  </si>
  <si>
    <t>DLWeekend</t>
  </si>
  <si>
    <t>ECG200</t>
  </si>
  <si>
    <t>ECGS5000</t>
  </si>
  <si>
    <t>ECG5D</t>
  </si>
  <si>
    <t>EOGHorizontalSignal</t>
  </si>
  <si>
    <t>EOGVerticalSignal</t>
  </si>
  <si>
    <t>Earthquakes</t>
  </si>
  <si>
    <t>ElecDev</t>
  </si>
  <si>
    <t>EthanolLvl</t>
  </si>
  <si>
    <t>FaceAll</t>
  </si>
  <si>
    <t>FaceFour</t>
  </si>
  <si>
    <t>FacesUCR</t>
  </si>
  <si>
    <t>FiftyWords</t>
  </si>
  <si>
    <t>Fish</t>
  </si>
  <si>
    <t>FordA</t>
  </si>
  <si>
    <t>FordB</t>
  </si>
  <si>
    <t>FRTrain</t>
  </si>
  <si>
    <t>FSTrain</t>
  </si>
  <si>
    <t>Fungi</t>
  </si>
  <si>
    <t>GMD1</t>
  </si>
  <si>
    <t>GMD2</t>
  </si>
  <si>
    <t>GMD3</t>
  </si>
  <si>
    <t>GPZ1</t>
  </si>
  <si>
    <t>GPZ2</t>
  </si>
  <si>
    <t>GunPoint</t>
  </si>
  <si>
    <t>GP-AS</t>
  </si>
  <si>
    <t>GP-MVF</t>
  </si>
  <si>
    <t>GP-OY</t>
  </si>
  <si>
    <t>Ham</t>
  </si>
  <si>
    <t>HandOutlines</t>
  </si>
  <si>
    <t>Haptics</t>
  </si>
  <si>
    <t>Herring</t>
  </si>
  <si>
    <t>Hse20</t>
  </si>
  <si>
    <t>InlSkate</t>
  </si>
  <si>
    <t>IEPG-RT</t>
  </si>
  <si>
    <t>IEPG-ST</t>
  </si>
  <si>
    <t>IWingImp</t>
  </si>
  <si>
    <t>IWingSound</t>
  </si>
  <si>
    <t>ItalyPowerDemand</t>
  </si>
  <si>
    <t>JapVow</t>
  </si>
  <si>
    <t>LrgKitchAppl</t>
  </si>
  <si>
    <t>Lightning2</t>
  </si>
  <si>
    <t>Lightning7</t>
  </si>
  <si>
    <t>Mallat</t>
  </si>
  <si>
    <t>Meat</t>
  </si>
  <si>
    <t>MedicalImages</t>
  </si>
  <si>
    <t>MelbournePedestrian</t>
  </si>
  <si>
    <t>MP-OAG</t>
  </si>
  <si>
    <t>MP-OC</t>
  </si>
  <si>
    <t>MP-TW</t>
  </si>
  <si>
    <t>MxShpRT</t>
  </si>
  <si>
    <t>MxShpST</t>
  </si>
  <si>
    <t>MoteStrain</t>
  </si>
  <si>
    <t>NonInvasiveFetalECGThorax1</t>
  </si>
  <si>
    <t>NonInvasiveFetalECGThorax2</t>
  </si>
  <si>
    <t>OSULeaf</t>
  </si>
  <si>
    <t>OliveOil</t>
  </si>
  <si>
    <t>PLAID</t>
  </si>
  <si>
    <t>POC</t>
  </si>
  <si>
    <t>Phoneme</t>
  </si>
  <si>
    <t>PGWZ</t>
  </si>
  <si>
    <t>PAP</t>
  </si>
  <si>
    <t>PAPress</t>
  </si>
  <si>
    <t>PCVP</t>
  </si>
  <si>
    <t>Plane</t>
  </si>
  <si>
    <t>PwrCons</t>
  </si>
  <si>
    <t>PP-OAG</t>
  </si>
  <si>
    <t>PP-OC</t>
  </si>
  <si>
    <t>PP-TW</t>
  </si>
  <si>
    <t>RefDev</t>
  </si>
  <si>
    <t>Rock</t>
  </si>
  <si>
    <t>ScreenType</t>
  </si>
  <si>
    <t>SHG-Ch2</t>
  </si>
  <si>
    <t>SemgHandMovementCh2</t>
  </si>
  <si>
    <t>SemgHandSubjectCh2</t>
  </si>
  <si>
    <t>SWGZ</t>
  </si>
  <si>
    <t>ShapeSim</t>
  </si>
  <si>
    <t>ShapesAll</t>
  </si>
  <si>
    <t>SmKitchAppl</t>
  </si>
  <si>
    <t>SmthSubsp</t>
  </si>
  <si>
    <t>SonySurf1</t>
  </si>
  <si>
    <t>SonySurf2</t>
  </si>
  <si>
    <t>SpArabDig</t>
  </si>
  <si>
    <t>StarLightCurves</t>
  </si>
  <si>
    <t>Strawberry</t>
  </si>
  <si>
    <t>SwedishLeaf</t>
  </si>
  <si>
    <t>Symbols</t>
  </si>
  <si>
    <t>SyntheticControl</t>
  </si>
  <si>
    <t>ToeSegmentation1</t>
  </si>
  <si>
    <t>ToeSegmentation2</t>
  </si>
  <si>
    <t>Trace</t>
  </si>
  <si>
    <t>2LeadECG</t>
  </si>
  <si>
    <t>TwoPatt</t>
  </si>
  <si>
    <t>UMD</t>
  </si>
  <si>
    <t>UWGL-AIl</t>
  </si>
  <si>
    <t>UWGL-X</t>
  </si>
  <si>
    <t>UWGL-Y</t>
  </si>
  <si>
    <t>UWGL-Z</t>
  </si>
  <si>
    <t>Wafer</t>
  </si>
  <si>
    <t>Wine</t>
  </si>
  <si>
    <t>WordSynonyms</t>
  </si>
  <si>
    <t>Worms</t>
  </si>
  <si>
    <t>WormsTwoClass</t>
  </si>
  <si>
    <t>Yoga</t>
  </si>
  <si>
    <t>Spinnato2024BORF</t>
  </si>
  <si>
    <t>DTW-D</t>
  </si>
  <si>
    <t>CMFM</t>
  </si>
  <si>
    <t>RT</t>
  </si>
  <si>
    <t>CIF</t>
  </si>
  <si>
    <t>Average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</si>
</sst>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9"/>
  <sheetViews>
    <sheetView topLeftCell="A124" workbookViewId="0">
      <selection activeCell="E153" sqref="E153"/>
    </sheetView>
  </sheetViews>
  <sheetFormatPr defaultRowHeight="14.5" x14ac:dyDescent="0.35"/>
  <cols>
    <col min="1" max="1" width="23.54296875" bestFit="1" customWidth="1"/>
    <col min="7" max="7" width="23.54296875" bestFit="1" customWidth="1"/>
    <col min="10" max="10" width="25.54296875" bestFit="1" customWidth="1"/>
  </cols>
  <sheetData>
    <row r="1" spans="1:14" x14ac:dyDescent="0.35">
      <c r="A1" t="s">
        <v>27</v>
      </c>
      <c r="B1" t="s">
        <v>36</v>
      </c>
      <c r="D1" t="s">
        <v>35</v>
      </c>
      <c r="E1" t="s">
        <v>28</v>
      </c>
      <c r="G1" t="s">
        <v>34</v>
      </c>
      <c r="H1" t="s">
        <v>33</v>
      </c>
      <c r="J1" t="s">
        <v>37</v>
      </c>
      <c r="K1" t="s">
        <v>170</v>
      </c>
      <c r="M1" t="s">
        <v>0</v>
      </c>
      <c r="N1" t="s">
        <v>171</v>
      </c>
    </row>
    <row r="2" spans="1:14" x14ac:dyDescent="0.35">
      <c r="A2" t="s">
        <v>1</v>
      </c>
      <c r="B2">
        <v>0.99333333333333296</v>
      </c>
      <c r="D2" t="s">
        <v>1</v>
      </c>
      <c r="E2">
        <v>0.98799999999999999</v>
      </c>
      <c r="G2" t="s">
        <v>1</v>
      </c>
      <c r="H2">
        <v>0.99329999999999996</v>
      </c>
      <c r="J2" t="s">
        <v>38</v>
      </c>
      <c r="K2">
        <v>0.61</v>
      </c>
      <c r="M2" t="s">
        <v>1</v>
      </c>
      <c r="N2">
        <v>0.98666666666666603</v>
      </c>
    </row>
    <row r="3" spans="1:14" x14ac:dyDescent="0.35">
      <c r="A3" t="s">
        <v>2</v>
      </c>
      <c r="B3">
        <v>0.266666666666666</v>
      </c>
      <c r="D3" t="s">
        <v>2</v>
      </c>
      <c r="E3">
        <v>0.191</v>
      </c>
      <c r="G3" t="s">
        <v>2</v>
      </c>
      <c r="H3">
        <v>0.2</v>
      </c>
      <c r="J3" t="s">
        <v>39</v>
      </c>
      <c r="K3">
        <v>0.65200000000000002</v>
      </c>
      <c r="M3" t="s">
        <v>2</v>
      </c>
      <c r="N3">
        <v>0.2</v>
      </c>
    </row>
    <row r="4" spans="1:14" x14ac:dyDescent="0.35">
      <c r="A4" t="s">
        <v>3</v>
      </c>
      <c r="B4">
        <v>1</v>
      </c>
      <c r="D4" t="s">
        <v>3</v>
      </c>
      <c r="E4">
        <v>0.98199999999999998</v>
      </c>
      <c r="G4" t="s">
        <v>3</v>
      </c>
      <c r="H4">
        <v>1</v>
      </c>
      <c r="J4" t="s">
        <v>40</v>
      </c>
      <c r="K4">
        <v>0.65600000000000003</v>
      </c>
      <c r="M4" t="s">
        <v>3</v>
      </c>
      <c r="N4">
        <v>0.97499999999999998</v>
      </c>
    </row>
    <row r="5" spans="1:14" x14ac:dyDescent="0.35">
      <c r="A5" t="s">
        <v>4</v>
      </c>
      <c r="B5">
        <v>1</v>
      </c>
      <c r="D5" t="s">
        <v>29</v>
      </c>
      <c r="E5">
        <v>0.97</v>
      </c>
      <c r="G5" t="s">
        <v>4</v>
      </c>
      <c r="H5">
        <v>1</v>
      </c>
      <c r="J5" t="s">
        <v>41</v>
      </c>
      <c r="K5">
        <v>0.70599999999999996</v>
      </c>
      <c r="M5" t="s">
        <v>4</v>
      </c>
      <c r="N5">
        <v>1</v>
      </c>
    </row>
    <row r="6" spans="1:14" x14ac:dyDescent="0.35">
      <c r="A6" t="s">
        <v>5</v>
      </c>
      <c r="B6">
        <v>0.56000000000000005</v>
      </c>
      <c r="D6" t="s">
        <v>4</v>
      </c>
      <c r="E6">
        <v>0.97699999999999998</v>
      </c>
      <c r="G6" t="s">
        <v>5</v>
      </c>
      <c r="H6">
        <v>0.18</v>
      </c>
      <c r="J6" t="s">
        <v>42</v>
      </c>
      <c r="K6">
        <v>0.63300000000000001</v>
      </c>
      <c r="M6" t="s">
        <v>5</v>
      </c>
      <c r="N6">
        <v>0.57999999999999996</v>
      </c>
    </row>
    <row r="7" spans="1:14" x14ac:dyDescent="0.35">
      <c r="A7" t="s">
        <v>6</v>
      </c>
      <c r="B7">
        <v>0.98888888888888804</v>
      </c>
      <c r="D7" t="s">
        <v>5</v>
      </c>
      <c r="E7">
        <v>0.51</v>
      </c>
      <c r="G7" t="s">
        <v>7</v>
      </c>
      <c r="H7">
        <v>0.58779999999999999</v>
      </c>
      <c r="J7" t="s">
        <v>43</v>
      </c>
      <c r="K7">
        <v>0.82899999999999996</v>
      </c>
      <c r="M7" t="s">
        <v>6</v>
      </c>
      <c r="N7">
        <v>0.91481481481481397</v>
      </c>
    </row>
    <row r="8" spans="1:14" x14ac:dyDescent="0.35">
      <c r="A8" t="s">
        <v>7</v>
      </c>
      <c r="B8">
        <v>0.94656488549618301</v>
      </c>
      <c r="D8" t="s">
        <v>7</v>
      </c>
      <c r="E8">
        <v>0.89500000000000002</v>
      </c>
      <c r="G8" t="s">
        <v>8</v>
      </c>
      <c r="H8">
        <v>0.99280000000000002</v>
      </c>
      <c r="J8" t="s">
        <v>1</v>
      </c>
      <c r="K8">
        <v>0.99299999999999999</v>
      </c>
      <c r="M8" t="s">
        <v>7</v>
      </c>
      <c r="N8">
        <v>0.61832061068702204</v>
      </c>
    </row>
    <row r="9" spans="1:14" x14ac:dyDescent="0.35">
      <c r="A9" t="s">
        <v>8</v>
      </c>
      <c r="B9">
        <v>1</v>
      </c>
      <c r="D9" t="s">
        <v>8</v>
      </c>
      <c r="E9">
        <v>0.999</v>
      </c>
      <c r="G9" t="s">
        <v>9</v>
      </c>
      <c r="H9">
        <v>0.39539999999999997</v>
      </c>
      <c r="J9" t="s">
        <v>2</v>
      </c>
      <c r="K9">
        <v>0.26700000000000002</v>
      </c>
      <c r="M9" t="s">
        <v>8</v>
      </c>
      <c r="N9">
        <v>0.96376811594202805</v>
      </c>
    </row>
    <row r="10" spans="1:14" x14ac:dyDescent="0.35">
      <c r="A10" t="s">
        <v>9</v>
      </c>
      <c r="B10">
        <v>0.77186311787072204</v>
      </c>
      <c r="D10" t="s">
        <v>6</v>
      </c>
      <c r="E10">
        <v>0.93099999999999905</v>
      </c>
      <c r="G10" t="s">
        <v>6</v>
      </c>
      <c r="H10">
        <v>0.81849999999999901</v>
      </c>
      <c r="J10" t="s">
        <v>44</v>
      </c>
      <c r="K10">
        <v>0.98</v>
      </c>
      <c r="M10" t="s">
        <v>9</v>
      </c>
      <c r="N10">
        <v>0.32319391634980899</v>
      </c>
    </row>
    <row r="11" spans="1:14" x14ac:dyDescent="0.35">
      <c r="A11" t="s">
        <v>10</v>
      </c>
      <c r="B11">
        <v>0.66032917139614</v>
      </c>
      <c r="D11" t="s">
        <v>9</v>
      </c>
      <c r="E11">
        <v>0.26</v>
      </c>
      <c r="G11" t="s">
        <v>10</v>
      </c>
      <c r="H11">
        <v>0.50739999999999996</v>
      </c>
      <c r="J11" t="s">
        <v>3</v>
      </c>
      <c r="K11">
        <v>0.97499999999999998</v>
      </c>
      <c r="M11" t="s">
        <v>10</v>
      </c>
      <c r="N11">
        <v>0.52866061293984101</v>
      </c>
    </row>
    <row r="12" spans="1:14" x14ac:dyDescent="0.35">
      <c r="A12" t="s">
        <v>11</v>
      </c>
      <c r="B12">
        <v>0.53</v>
      </c>
      <c r="D12" t="s">
        <v>10</v>
      </c>
      <c r="E12">
        <v>0.55700000000000005</v>
      </c>
      <c r="G12" t="s">
        <v>11</v>
      </c>
      <c r="H12">
        <v>0.59</v>
      </c>
      <c r="J12" t="s">
        <v>45</v>
      </c>
      <c r="K12">
        <v>0.73299999999999998</v>
      </c>
      <c r="M12" t="s">
        <v>11</v>
      </c>
      <c r="N12">
        <v>0.53</v>
      </c>
    </row>
    <row r="13" spans="1:14" x14ac:dyDescent="0.35">
      <c r="A13" t="s">
        <v>12</v>
      </c>
      <c r="B13">
        <v>0.47297297297297197</v>
      </c>
      <c r="D13" t="s">
        <v>11</v>
      </c>
      <c r="E13">
        <v>0.501</v>
      </c>
      <c r="G13" t="s">
        <v>12</v>
      </c>
      <c r="H13">
        <v>0.33779999999999999</v>
      </c>
      <c r="J13" t="s">
        <v>46</v>
      </c>
      <c r="K13">
        <v>0.9</v>
      </c>
      <c r="M13" t="s">
        <v>12</v>
      </c>
      <c r="N13">
        <v>0.18918918918918901</v>
      </c>
    </row>
    <row r="14" spans="1:14" x14ac:dyDescent="0.35">
      <c r="A14" t="s">
        <v>13</v>
      </c>
      <c r="B14">
        <v>0.54823529411764704</v>
      </c>
      <c r="D14" t="s">
        <v>12</v>
      </c>
      <c r="E14">
        <v>0.245</v>
      </c>
      <c r="G14" t="s">
        <v>13</v>
      </c>
      <c r="H14">
        <v>0.26939999999999997</v>
      </c>
      <c r="J14" t="s">
        <v>47</v>
      </c>
      <c r="K14">
        <v>0.9</v>
      </c>
      <c r="M14" t="s">
        <v>13</v>
      </c>
      <c r="N14">
        <v>0.60705882352941098</v>
      </c>
    </row>
    <row r="15" spans="1:14" x14ac:dyDescent="0.35">
      <c r="A15" t="s">
        <v>14</v>
      </c>
      <c r="B15">
        <v>0.73170731707317005</v>
      </c>
      <c r="D15" t="s">
        <v>13</v>
      </c>
      <c r="E15">
        <v>0.27399999999999902</v>
      </c>
      <c r="G15" t="s">
        <v>14</v>
      </c>
      <c r="H15">
        <v>0.7268</v>
      </c>
      <c r="J15" t="s">
        <v>48</v>
      </c>
      <c r="K15">
        <v>1</v>
      </c>
      <c r="M15" t="s">
        <v>14</v>
      </c>
      <c r="N15">
        <v>0.71707317073170695</v>
      </c>
    </row>
    <row r="16" spans="1:14" x14ac:dyDescent="0.35">
      <c r="A16" t="s">
        <v>15</v>
      </c>
      <c r="B16">
        <v>0.64274128142741205</v>
      </c>
      <c r="D16" t="s">
        <v>14</v>
      </c>
      <c r="E16">
        <v>0.76800000000000002</v>
      </c>
      <c r="G16" t="s">
        <v>16</v>
      </c>
      <c r="H16">
        <v>0.85560000000000003</v>
      </c>
      <c r="J16" t="s">
        <v>49</v>
      </c>
      <c r="K16">
        <v>0.91700000000000004</v>
      </c>
      <c r="M16" t="s">
        <v>15</v>
      </c>
      <c r="N16">
        <v>0.55109489051094895</v>
      </c>
    </row>
    <row r="17" spans="1:14" x14ac:dyDescent="0.35">
      <c r="A17" t="s">
        <v>16</v>
      </c>
      <c r="B17">
        <v>0.93333333333333302</v>
      </c>
      <c r="D17" t="s">
        <v>30</v>
      </c>
      <c r="E17">
        <v>0.67700000000000005</v>
      </c>
      <c r="G17" t="s">
        <v>15</v>
      </c>
      <c r="H17">
        <v>0.3362</v>
      </c>
      <c r="J17" t="s">
        <v>50</v>
      </c>
      <c r="K17">
        <v>0.96899999999999997</v>
      </c>
      <c r="M17" t="s">
        <v>16</v>
      </c>
      <c r="N17">
        <v>0.87222222222222201</v>
      </c>
    </row>
    <row r="18" spans="1:14" x14ac:dyDescent="0.35">
      <c r="A18" t="s">
        <v>17</v>
      </c>
      <c r="B18">
        <v>0.54</v>
      </c>
      <c r="D18" t="s">
        <v>31</v>
      </c>
      <c r="E18">
        <v>0.83699999999999997</v>
      </c>
      <c r="G18" t="s">
        <v>17</v>
      </c>
      <c r="H18">
        <v>0.5</v>
      </c>
      <c r="J18" t="s">
        <v>51</v>
      </c>
      <c r="K18">
        <v>0.96199999999999997</v>
      </c>
      <c r="M18" t="s">
        <v>17</v>
      </c>
      <c r="N18">
        <v>0.5</v>
      </c>
    </row>
    <row r="19" spans="1:14" x14ac:dyDescent="0.35">
      <c r="A19" t="s">
        <v>18</v>
      </c>
      <c r="B19">
        <v>0.89444444444444404</v>
      </c>
      <c r="D19" t="s">
        <v>16</v>
      </c>
      <c r="E19">
        <v>0.84699999999999998</v>
      </c>
      <c r="G19" t="s">
        <v>18</v>
      </c>
      <c r="H19">
        <v>0.87780000000000002</v>
      </c>
      <c r="J19" t="s">
        <v>52</v>
      </c>
      <c r="K19">
        <v>0.72099999999999997</v>
      </c>
      <c r="M19" t="s">
        <v>18</v>
      </c>
      <c r="N19">
        <v>0.88333333333333297</v>
      </c>
    </row>
    <row r="20" spans="1:14" x14ac:dyDescent="0.35">
      <c r="A20" t="s">
        <v>19</v>
      </c>
      <c r="B20">
        <v>1</v>
      </c>
      <c r="D20" t="s">
        <v>15</v>
      </c>
      <c r="E20">
        <v>0.67299999999999904</v>
      </c>
      <c r="G20" t="s">
        <v>20</v>
      </c>
      <c r="H20">
        <v>0.62090000000000001</v>
      </c>
      <c r="J20" t="s">
        <v>53</v>
      </c>
      <c r="K20">
        <v>0.751</v>
      </c>
      <c r="M20" t="s">
        <v>19</v>
      </c>
      <c r="N20">
        <v>0.71098265895953705</v>
      </c>
    </row>
    <row r="21" spans="1:14" x14ac:dyDescent="0.35">
      <c r="A21" t="s">
        <v>20</v>
      </c>
      <c r="B21">
        <v>0.97913093196112</v>
      </c>
      <c r="D21" t="s">
        <v>17</v>
      </c>
      <c r="E21">
        <v>0.503</v>
      </c>
      <c r="G21" t="s">
        <v>19</v>
      </c>
      <c r="H21">
        <v>0.36420000000000002</v>
      </c>
      <c r="J21" t="s">
        <v>54</v>
      </c>
      <c r="K21">
        <v>1</v>
      </c>
      <c r="M21" t="s">
        <v>20</v>
      </c>
      <c r="N21">
        <v>0.97712978845054299</v>
      </c>
    </row>
    <row r="22" spans="1:14" x14ac:dyDescent="0.35">
      <c r="A22" t="s">
        <v>21</v>
      </c>
      <c r="B22">
        <v>0.29048613182224797</v>
      </c>
      <c r="D22" t="s">
        <v>18</v>
      </c>
      <c r="E22">
        <v>0.83499999999999996</v>
      </c>
      <c r="G22" t="s">
        <v>21</v>
      </c>
      <c r="H22">
        <v>0.17859999999999901</v>
      </c>
      <c r="J22" t="s">
        <v>55</v>
      </c>
      <c r="K22">
        <v>0.77200000000000002</v>
      </c>
      <c r="M22" t="s">
        <v>21</v>
      </c>
      <c r="N22">
        <v>0.15120787354607801</v>
      </c>
    </row>
    <row r="23" spans="1:14" x14ac:dyDescent="0.35">
      <c r="A23" t="s">
        <v>22</v>
      </c>
      <c r="B23">
        <v>0.90789473684210498</v>
      </c>
      <c r="D23" t="s">
        <v>19</v>
      </c>
      <c r="E23">
        <v>0.999</v>
      </c>
      <c r="G23" t="s">
        <v>22</v>
      </c>
      <c r="H23">
        <v>0.84870000000000001</v>
      </c>
      <c r="J23" t="s">
        <v>4</v>
      </c>
      <c r="K23">
        <v>1</v>
      </c>
      <c r="M23" t="s">
        <v>22</v>
      </c>
      <c r="N23">
        <v>0.80263157894736803</v>
      </c>
    </row>
    <row r="24" spans="1:14" x14ac:dyDescent="0.35">
      <c r="A24" t="s">
        <v>23</v>
      </c>
      <c r="B24">
        <v>0.89078498293515296</v>
      </c>
      <c r="D24" t="s">
        <v>20</v>
      </c>
      <c r="E24">
        <v>0.95199999999999996</v>
      </c>
      <c r="G24" t="s">
        <v>23</v>
      </c>
      <c r="H24">
        <v>0.85670000000000002</v>
      </c>
      <c r="J24" t="s">
        <v>56</v>
      </c>
      <c r="K24">
        <v>0.82099999999999995</v>
      </c>
      <c r="M24" t="s">
        <v>23</v>
      </c>
      <c r="N24">
        <v>0.77474402730375402</v>
      </c>
    </row>
    <row r="25" spans="1:14" x14ac:dyDescent="0.35">
      <c r="A25" t="s">
        <v>24</v>
      </c>
      <c r="B25">
        <v>0.5</v>
      </c>
      <c r="D25" t="s">
        <v>21</v>
      </c>
      <c r="E25">
        <v>0.28399999999999997</v>
      </c>
      <c r="G25" t="s">
        <v>24</v>
      </c>
      <c r="H25">
        <v>0.4778</v>
      </c>
      <c r="J25" t="s">
        <v>57</v>
      </c>
      <c r="K25">
        <v>0.82099999999999995</v>
      </c>
      <c r="M25" t="s">
        <v>24</v>
      </c>
      <c r="N25">
        <v>0.53888888888888797</v>
      </c>
    </row>
    <row r="26" spans="1:14" x14ac:dyDescent="0.35">
      <c r="A26" t="s">
        <v>25</v>
      </c>
      <c r="B26">
        <v>0.46666666666666601</v>
      </c>
      <c r="D26" t="s">
        <v>22</v>
      </c>
      <c r="E26">
        <v>0.80599999999999905</v>
      </c>
      <c r="G26" t="s">
        <v>25</v>
      </c>
      <c r="H26">
        <v>0.4</v>
      </c>
      <c r="J26" t="s">
        <v>58</v>
      </c>
      <c r="K26">
        <v>0.83799999999999997</v>
      </c>
      <c r="M26" t="s">
        <v>25</v>
      </c>
      <c r="N26">
        <v>0.2</v>
      </c>
    </row>
    <row r="27" spans="1:14" x14ac:dyDescent="0.35">
      <c r="A27" t="s">
        <v>26</v>
      </c>
      <c r="B27">
        <v>0.92812499999999998</v>
      </c>
      <c r="D27" t="s">
        <v>23</v>
      </c>
      <c r="E27">
        <v>0.82</v>
      </c>
      <c r="G27" t="s">
        <v>26</v>
      </c>
      <c r="H27">
        <v>0.875</v>
      </c>
      <c r="J27" t="s">
        <v>59</v>
      </c>
      <c r="K27">
        <v>0.67800000000000005</v>
      </c>
      <c r="M27" t="s">
        <v>26</v>
      </c>
      <c r="N27">
        <v>0.90312499999999996</v>
      </c>
    </row>
    <row r="28" spans="1:14" x14ac:dyDescent="0.35">
      <c r="D28" t="s">
        <v>24</v>
      </c>
      <c r="E28">
        <v>0.41799999999999998</v>
      </c>
      <c r="J28" t="s">
        <v>60</v>
      </c>
      <c r="K28">
        <v>0.98</v>
      </c>
    </row>
    <row r="29" spans="1:14" x14ac:dyDescent="0.35">
      <c r="B29">
        <f>AVERAGE(B2:B27)</f>
        <v>0.74785265989416161</v>
      </c>
      <c r="D29" t="s">
        <v>32</v>
      </c>
      <c r="E29">
        <v>0.97599999999999998</v>
      </c>
      <c r="J29" t="s">
        <v>61</v>
      </c>
      <c r="K29">
        <v>0.77</v>
      </c>
      <c r="N29">
        <f>AVERAGE(N2:N27)</f>
        <v>0.65381177626973686</v>
      </c>
    </row>
    <row r="30" spans="1:14" x14ac:dyDescent="0.35">
      <c r="D30" t="s">
        <v>25</v>
      </c>
      <c r="E30">
        <v>0.36299999999999999</v>
      </c>
      <c r="J30" t="s">
        <v>62</v>
      </c>
      <c r="K30">
        <v>0.74299999999999999</v>
      </c>
    </row>
    <row r="31" spans="1:14" x14ac:dyDescent="0.35">
      <c r="D31" t="s">
        <v>26</v>
      </c>
      <c r="E31">
        <v>0.77500000000000002</v>
      </c>
      <c r="J31" t="s">
        <v>63</v>
      </c>
      <c r="K31">
        <v>0.71199999999999997</v>
      </c>
    </row>
    <row r="32" spans="1:14" x14ac:dyDescent="0.35">
      <c r="J32" t="s">
        <v>64</v>
      </c>
      <c r="K32">
        <v>0.53700000000000003</v>
      </c>
    </row>
    <row r="33" spans="10:11" x14ac:dyDescent="0.35">
      <c r="J33" t="s">
        <v>65</v>
      </c>
      <c r="K33">
        <v>0.85499999999999998</v>
      </c>
    </row>
    <row r="34" spans="10:11" x14ac:dyDescent="0.35">
      <c r="J34" t="s">
        <v>66</v>
      </c>
      <c r="K34">
        <v>0.97799999999999998</v>
      </c>
    </row>
    <row r="35" spans="10:11" x14ac:dyDescent="0.35">
      <c r="J35" t="s">
        <v>5</v>
      </c>
      <c r="K35">
        <v>0.44</v>
      </c>
    </row>
    <row r="36" spans="10:11" x14ac:dyDescent="0.35">
      <c r="J36" t="s">
        <v>67</v>
      </c>
      <c r="K36">
        <v>0.9</v>
      </c>
    </row>
    <row r="37" spans="10:11" x14ac:dyDescent="0.35">
      <c r="J37" t="s">
        <v>68</v>
      </c>
      <c r="K37">
        <v>0.94399999999999995</v>
      </c>
    </row>
    <row r="38" spans="10:11" x14ac:dyDescent="0.35">
      <c r="J38" t="s">
        <v>69</v>
      </c>
      <c r="K38">
        <v>1</v>
      </c>
    </row>
    <row r="39" spans="10:11" x14ac:dyDescent="0.35">
      <c r="J39" t="s">
        <v>70</v>
      </c>
      <c r="K39">
        <v>0.61</v>
      </c>
    </row>
    <row r="40" spans="10:11" x14ac:dyDescent="0.35">
      <c r="J40" t="s">
        <v>71</v>
      </c>
      <c r="K40">
        <v>0.50600000000000001</v>
      </c>
    </row>
    <row r="41" spans="10:11" x14ac:dyDescent="0.35">
      <c r="J41" t="s">
        <v>6</v>
      </c>
      <c r="K41">
        <v>0.95199999999999996</v>
      </c>
    </row>
    <row r="42" spans="10:11" x14ac:dyDescent="0.35">
      <c r="J42" t="s">
        <v>72</v>
      </c>
      <c r="K42">
        <v>0.748</v>
      </c>
    </row>
    <row r="43" spans="10:11" x14ac:dyDescent="0.35">
      <c r="J43" t="s">
        <v>7</v>
      </c>
      <c r="K43">
        <v>0.87</v>
      </c>
    </row>
    <row r="44" spans="10:11" x14ac:dyDescent="0.35">
      <c r="J44" t="s">
        <v>73</v>
      </c>
      <c r="K44">
        <v>0.75700000000000001</v>
      </c>
    </row>
    <row r="45" spans="10:11" x14ac:dyDescent="0.35">
      <c r="J45" t="s">
        <v>8</v>
      </c>
      <c r="K45">
        <v>0.99299999999999999</v>
      </c>
    </row>
    <row r="46" spans="10:11" x14ac:dyDescent="0.35">
      <c r="J46" t="s">
        <v>9</v>
      </c>
      <c r="K46">
        <v>0.36899999999999999</v>
      </c>
    </row>
    <row r="47" spans="10:11" x14ac:dyDescent="0.35">
      <c r="J47" t="s">
        <v>74</v>
      </c>
      <c r="K47">
        <v>0.50800000000000001</v>
      </c>
    </row>
    <row r="48" spans="10:11" x14ac:dyDescent="0.35">
      <c r="J48" t="s">
        <v>75</v>
      </c>
      <c r="K48">
        <v>0.80200000000000005</v>
      </c>
    </row>
    <row r="49" spans="10:11" x14ac:dyDescent="0.35">
      <c r="J49" t="s">
        <v>10</v>
      </c>
      <c r="K49">
        <v>0.58899999999999997</v>
      </c>
    </row>
    <row r="50" spans="10:11" x14ac:dyDescent="0.35">
      <c r="J50" t="s">
        <v>76</v>
      </c>
      <c r="K50">
        <v>1</v>
      </c>
    </row>
    <row r="51" spans="10:11" x14ac:dyDescent="0.35">
      <c r="J51" t="s">
        <v>77</v>
      </c>
      <c r="K51">
        <v>0.94199999999999995</v>
      </c>
    </row>
    <row r="52" spans="10:11" x14ac:dyDescent="0.35">
      <c r="J52" t="s">
        <v>78</v>
      </c>
      <c r="K52">
        <v>0.73</v>
      </c>
    </row>
    <row r="53" spans="10:11" x14ac:dyDescent="0.35">
      <c r="J53" t="s">
        <v>11</v>
      </c>
      <c r="K53">
        <v>0.56000000000000005</v>
      </c>
    </row>
    <row r="54" spans="10:11" x14ac:dyDescent="0.35">
      <c r="J54" t="s">
        <v>79</v>
      </c>
      <c r="K54">
        <v>0.96599999999999997</v>
      </c>
    </row>
    <row r="55" spans="10:11" x14ac:dyDescent="0.35">
      <c r="J55" t="s">
        <v>80</v>
      </c>
      <c r="K55">
        <v>0.93700000000000006</v>
      </c>
    </row>
    <row r="56" spans="10:11" x14ac:dyDescent="0.35">
      <c r="J56" t="s">
        <v>81</v>
      </c>
      <c r="K56">
        <v>0.80100000000000005</v>
      </c>
    </row>
    <row r="57" spans="10:11" x14ac:dyDescent="0.35">
      <c r="J57" t="s">
        <v>82</v>
      </c>
      <c r="K57">
        <v>0.998</v>
      </c>
    </row>
    <row r="58" spans="10:11" x14ac:dyDescent="0.35">
      <c r="J58" t="s">
        <v>83</v>
      </c>
      <c r="K58">
        <v>0.99099999999999999</v>
      </c>
    </row>
    <row r="59" spans="10:11" x14ac:dyDescent="0.35">
      <c r="J59" t="s">
        <v>84</v>
      </c>
      <c r="K59">
        <v>1</v>
      </c>
    </row>
    <row r="60" spans="10:11" x14ac:dyDescent="0.35">
      <c r="J60" t="s">
        <v>85</v>
      </c>
      <c r="K60">
        <v>0.746</v>
      </c>
    </row>
    <row r="61" spans="10:11" x14ac:dyDescent="0.35">
      <c r="J61" t="s">
        <v>86</v>
      </c>
      <c r="K61">
        <v>0.66200000000000003</v>
      </c>
    </row>
    <row r="62" spans="10:11" x14ac:dyDescent="0.35">
      <c r="J62" t="s">
        <v>87</v>
      </c>
      <c r="K62">
        <v>0.46899999999999997</v>
      </c>
    </row>
    <row r="63" spans="10:11" x14ac:dyDescent="0.35">
      <c r="J63" t="s">
        <v>88</v>
      </c>
      <c r="K63">
        <v>0.872</v>
      </c>
    </row>
    <row r="64" spans="10:11" x14ac:dyDescent="0.35">
      <c r="J64" t="s">
        <v>89</v>
      </c>
      <c r="K64">
        <v>0.873</v>
      </c>
    </row>
    <row r="65" spans="10:11" x14ac:dyDescent="0.35">
      <c r="J65" t="s">
        <v>90</v>
      </c>
      <c r="K65">
        <v>1</v>
      </c>
    </row>
    <row r="66" spans="10:11" x14ac:dyDescent="0.35">
      <c r="J66" t="s">
        <v>91</v>
      </c>
      <c r="K66">
        <v>0.98699999999999999</v>
      </c>
    </row>
    <row r="67" spans="10:11" x14ac:dyDescent="0.35">
      <c r="J67" t="s">
        <v>92</v>
      </c>
      <c r="K67">
        <v>1</v>
      </c>
    </row>
    <row r="68" spans="10:11" x14ac:dyDescent="0.35">
      <c r="J68" t="s">
        <v>93</v>
      </c>
      <c r="K68">
        <v>0.997</v>
      </c>
    </row>
    <row r="69" spans="10:11" x14ac:dyDescent="0.35">
      <c r="J69" t="s">
        <v>94</v>
      </c>
      <c r="K69">
        <v>0.74299999999999999</v>
      </c>
    </row>
    <row r="70" spans="10:11" x14ac:dyDescent="0.35">
      <c r="J70" t="s">
        <v>12</v>
      </c>
      <c r="K70">
        <v>0.28399999999999997</v>
      </c>
    </row>
    <row r="71" spans="10:11" x14ac:dyDescent="0.35">
      <c r="J71" t="s">
        <v>95</v>
      </c>
      <c r="K71">
        <v>0.93</v>
      </c>
    </row>
    <row r="72" spans="10:11" x14ac:dyDescent="0.35">
      <c r="J72" t="s">
        <v>13</v>
      </c>
      <c r="K72">
        <v>0.52</v>
      </c>
    </row>
    <row r="73" spans="10:11" x14ac:dyDescent="0.35">
      <c r="J73" t="s">
        <v>96</v>
      </c>
      <c r="K73">
        <v>0.48699999999999999</v>
      </c>
    </row>
    <row r="74" spans="10:11" x14ac:dyDescent="0.35">
      <c r="J74" t="s">
        <v>14</v>
      </c>
      <c r="K74">
        <v>0.74099999999999999</v>
      </c>
    </row>
    <row r="75" spans="10:11" x14ac:dyDescent="0.35">
      <c r="J75" t="s">
        <v>97</v>
      </c>
      <c r="K75">
        <v>0.60899999999999999</v>
      </c>
    </row>
    <row r="76" spans="10:11" x14ac:dyDescent="0.35">
      <c r="J76" t="s">
        <v>98</v>
      </c>
      <c r="K76">
        <v>0.99199999999999999</v>
      </c>
    </row>
    <row r="77" spans="10:11" x14ac:dyDescent="0.35">
      <c r="J77" t="s">
        <v>99</v>
      </c>
      <c r="K77">
        <v>0.40500000000000003</v>
      </c>
    </row>
    <row r="78" spans="10:11" x14ac:dyDescent="0.35">
      <c r="J78" t="s">
        <v>100</v>
      </c>
      <c r="K78">
        <v>0.98799999999999999</v>
      </c>
    </row>
    <row r="79" spans="10:11" x14ac:dyDescent="0.35">
      <c r="J79" t="s">
        <v>101</v>
      </c>
      <c r="K79">
        <v>0.92800000000000005</v>
      </c>
    </row>
    <row r="80" spans="10:11" x14ac:dyDescent="0.35">
      <c r="J80" t="s">
        <v>102</v>
      </c>
      <c r="K80">
        <v>0.51900000000000002</v>
      </c>
    </row>
    <row r="81" spans="10:11" x14ac:dyDescent="0.35">
      <c r="J81" t="s">
        <v>103</v>
      </c>
      <c r="K81">
        <v>0.63300000000000001</v>
      </c>
    </row>
    <row r="82" spans="10:11" x14ac:dyDescent="0.35">
      <c r="J82" t="s">
        <v>104</v>
      </c>
      <c r="K82">
        <v>0.95399999999999996</v>
      </c>
    </row>
    <row r="83" spans="10:11" x14ac:dyDescent="0.35">
      <c r="J83" t="s">
        <v>105</v>
      </c>
      <c r="K83">
        <v>0.79500000000000004</v>
      </c>
    </row>
    <row r="84" spans="10:11" x14ac:dyDescent="0.35">
      <c r="J84" t="s">
        <v>15</v>
      </c>
      <c r="K84">
        <v>0.60299999999999998</v>
      </c>
    </row>
    <row r="85" spans="10:11" x14ac:dyDescent="0.35">
      <c r="J85" t="s">
        <v>106</v>
      </c>
      <c r="K85">
        <v>0.92300000000000004</v>
      </c>
    </row>
    <row r="86" spans="10:11" x14ac:dyDescent="0.35">
      <c r="J86" t="s">
        <v>16</v>
      </c>
      <c r="K86">
        <v>0.84399999999999997</v>
      </c>
    </row>
    <row r="87" spans="10:11" x14ac:dyDescent="0.35">
      <c r="J87" t="s">
        <v>107</v>
      </c>
      <c r="K87">
        <v>0.80300000000000005</v>
      </c>
    </row>
    <row r="88" spans="10:11" x14ac:dyDescent="0.35">
      <c r="J88" t="s">
        <v>108</v>
      </c>
      <c r="K88">
        <v>0.79500000000000004</v>
      </c>
    </row>
    <row r="89" spans="10:11" x14ac:dyDescent="0.35">
      <c r="J89" t="s">
        <v>109</v>
      </c>
      <c r="K89">
        <v>0.93899999999999995</v>
      </c>
    </row>
    <row r="90" spans="10:11" x14ac:dyDescent="0.35">
      <c r="J90" t="s">
        <v>110</v>
      </c>
      <c r="K90">
        <v>0.85</v>
      </c>
    </row>
    <row r="91" spans="10:11" x14ac:dyDescent="0.35">
      <c r="J91" t="s">
        <v>111</v>
      </c>
      <c r="K91">
        <v>0.69599999999999995</v>
      </c>
    </row>
    <row r="92" spans="10:11" x14ac:dyDescent="0.35">
      <c r="J92" t="s">
        <v>112</v>
      </c>
      <c r="K92">
        <v>0.83599999999999997</v>
      </c>
    </row>
    <row r="93" spans="10:11" x14ac:dyDescent="0.35">
      <c r="J93" t="s">
        <v>113</v>
      </c>
      <c r="K93">
        <v>0.623</v>
      </c>
    </row>
    <row r="94" spans="10:11" x14ac:dyDescent="0.35">
      <c r="J94" t="s">
        <v>114</v>
      </c>
      <c r="K94">
        <v>0.75900000000000001</v>
      </c>
    </row>
    <row r="95" spans="10:11" x14ac:dyDescent="0.35">
      <c r="J95" t="s">
        <v>115</v>
      </c>
      <c r="K95">
        <v>0.59099999999999997</v>
      </c>
    </row>
    <row r="96" spans="10:11" x14ac:dyDescent="0.35">
      <c r="J96" t="s">
        <v>116</v>
      </c>
      <c r="K96">
        <v>0.95199999999999996</v>
      </c>
    </row>
    <row r="97" spans="10:11" x14ac:dyDescent="0.35">
      <c r="J97" t="s">
        <v>117</v>
      </c>
      <c r="K97">
        <v>0.92</v>
      </c>
    </row>
    <row r="98" spans="10:11" x14ac:dyDescent="0.35">
      <c r="J98" t="s">
        <v>118</v>
      </c>
      <c r="K98">
        <v>0.94599999999999995</v>
      </c>
    </row>
    <row r="99" spans="10:11" x14ac:dyDescent="0.35">
      <c r="J99" t="s">
        <v>17</v>
      </c>
      <c r="K99">
        <v>0.46</v>
      </c>
    </row>
    <row r="100" spans="10:11" x14ac:dyDescent="0.35">
      <c r="J100" t="s">
        <v>18</v>
      </c>
      <c r="K100">
        <v>0.91700000000000004</v>
      </c>
    </row>
    <row r="101" spans="10:11" x14ac:dyDescent="0.35">
      <c r="J101" t="s">
        <v>119</v>
      </c>
      <c r="K101">
        <v>0.90200000000000002</v>
      </c>
    </row>
    <row r="102" spans="10:11" x14ac:dyDescent="0.35">
      <c r="J102" t="s">
        <v>120</v>
      </c>
      <c r="K102">
        <v>0.91600000000000004</v>
      </c>
    </row>
    <row r="103" spans="10:11" x14ac:dyDescent="0.35">
      <c r="J103" t="s">
        <v>121</v>
      </c>
      <c r="K103">
        <v>0.95</v>
      </c>
    </row>
    <row r="104" spans="10:11" x14ac:dyDescent="0.35">
      <c r="J104" t="s">
        <v>122</v>
      </c>
      <c r="K104">
        <v>0.9</v>
      </c>
    </row>
    <row r="105" spans="10:11" x14ac:dyDescent="0.35">
      <c r="J105" t="s">
        <v>19</v>
      </c>
      <c r="K105">
        <v>0.90800000000000003</v>
      </c>
    </row>
    <row r="106" spans="10:11" x14ac:dyDescent="0.35">
      <c r="J106" t="s">
        <v>123</v>
      </c>
      <c r="K106">
        <v>0.88500000000000001</v>
      </c>
    </row>
    <row r="107" spans="10:11" x14ac:dyDescent="0.35">
      <c r="J107" t="s">
        <v>20</v>
      </c>
      <c r="K107">
        <v>0.92</v>
      </c>
    </row>
    <row r="108" spans="10:11" x14ac:dyDescent="0.35">
      <c r="J108" t="s">
        <v>124</v>
      </c>
      <c r="K108">
        <v>0.748</v>
      </c>
    </row>
    <row r="109" spans="10:11" x14ac:dyDescent="0.35">
      <c r="J109" t="s">
        <v>125</v>
      </c>
      <c r="K109">
        <v>0.317</v>
      </c>
    </row>
    <row r="110" spans="10:11" x14ac:dyDescent="0.35">
      <c r="J110" t="s">
        <v>21</v>
      </c>
      <c r="K110">
        <v>0.251</v>
      </c>
    </row>
    <row r="111" spans="10:11" x14ac:dyDescent="0.35">
      <c r="J111" t="s">
        <v>126</v>
      </c>
      <c r="K111">
        <v>0.7</v>
      </c>
    </row>
    <row r="112" spans="10:11" x14ac:dyDescent="0.35">
      <c r="J112" t="s">
        <v>127</v>
      </c>
      <c r="K112">
        <v>0.65900000000000003</v>
      </c>
    </row>
    <row r="113" spans="10:11" x14ac:dyDescent="0.35">
      <c r="J113" t="s">
        <v>128</v>
      </c>
      <c r="K113">
        <v>0.98599999999999999</v>
      </c>
    </row>
    <row r="114" spans="10:11" x14ac:dyDescent="0.35">
      <c r="J114" t="s">
        <v>129</v>
      </c>
      <c r="K114">
        <v>0.95199999999999996</v>
      </c>
    </row>
    <row r="115" spans="10:11" x14ac:dyDescent="0.35">
      <c r="J115" t="s">
        <v>130</v>
      </c>
      <c r="K115">
        <v>1</v>
      </c>
    </row>
    <row r="116" spans="10:11" x14ac:dyDescent="0.35">
      <c r="J116" t="s">
        <v>131</v>
      </c>
      <c r="K116">
        <v>0.88900000000000001</v>
      </c>
    </row>
    <row r="117" spans="10:11" x14ac:dyDescent="0.35">
      <c r="J117" t="s">
        <v>132</v>
      </c>
      <c r="K117">
        <v>0.84399999999999997</v>
      </c>
    </row>
    <row r="118" spans="10:11" x14ac:dyDescent="0.35">
      <c r="J118" t="s">
        <v>133</v>
      </c>
      <c r="K118">
        <v>0.85899999999999999</v>
      </c>
    </row>
    <row r="119" spans="10:11" x14ac:dyDescent="0.35">
      <c r="J119" t="s">
        <v>134</v>
      </c>
      <c r="K119">
        <v>0.8</v>
      </c>
    </row>
    <row r="120" spans="10:11" x14ac:dyDescent="0.35">
      <c r="J120" t="s">
        <v>22</v>
      </c>
      <c r="K120">
        <v>0.90800000000000003</v>
      </c>
    </row>
    <row r="121" spans="10:11" x14ac:dyDescent="0.35">
      <c r="J121" t="s">
        <v>135</v>
      </c>
      <c r="K121">
        <v>0.60799999999999998</v>
      </c>
    </row>
    <row r="122" spans="10:11" x14ac:dyDescent="0.35">
      <c r="J122" t="s">
        <v>136</v>
      </c>
      <c r="K122">
        <v>0.88</v>
      </c>
    </row>
    <row r="123" spans="10:11" x14ac:dyDescent="0.35">
      <c r="J123" t="s">
        <v>137</v>
      </c>
      <c r="K123">
        <v>0.51500000000000001</v>
      </c>
    </row>
    <row r="124" spans="10:11" x14ac:dyDescent="0.35">
      <c r="J124" t="s">
        <v>23</v>
      </c>
      <c r="K124">
        <v>0.75800000000000001</v>
      </c>
    </row>
    <row r="125" spans="10:11" x14ac:dyDescent="0.35">
      <c r="J125" t="s">
        <v>24</v>
      </c>
      <c r="K125">
        <v>0.47199999999999998</v>
      </c>
    </row>
    <row r="126" spans="10:11" x14ac:dyDescent="0.35">
      <c r="J126" t="s">
        <v>138</v>
      </c>
      <c r="K126">
        <v>0.89200000000000002</v>
      </c>
    </row>
    <row r="127" spans="10:11" x14ac:dyDescent="0.35">
      <c r="J127" t="s">
        <v>139</v>
      </c>
      <c r="K127">
        <v>0.63800000000000001</v>
      </c>
    </row>
    <row r="128" spans="10:11" x14ac:dyDescent="0.35">
      <c r="J128" t="s">
        <v>140</v>
      </c>
      <c r="K128">
        <v>0.86699999999999999</v>
      </c>
    </row>
    <row r="129" spans="10:11" x14ac:dyDescent="0.35">
      <c r="J129" t="s">
        <v>141</v>
      </c>
      <c r="K129">
        <v>0.82</v>
      </c>
    </row>
    <row r="130" spans="10:11" x14ac:dyDescent="0.35">
      <c r="J130" t="s">
        <v>142</v>
      </c>
      <c r="K130">
        <v>1</v>
      </c>
    </row>
    <row r="131" spans="10:11" x14ac:dyDescent="0.35">
      <c r="J131" t="s">
        <v>143</v>
      </c>
      <c r="K131">
        <v>0.89700000000000002</v>
      </c>
    </row>
    <row r="132" spans="10:11" x14ac:dyDescent="0.35">
      <c r="J132" t="s">
        <v>144</v>
      </c>
      <c r="K132">
        <v>0.75700000000000001</v>
      </c>
    </row>
    <row r="133" spans="10:11" x14ac:dyDescent="0.35">
      <c r="J133" t="s">
        <v>145</v>
      </c>
      <c r="K133">
        <v>0.88</v>
      </c>
    </row>
    <row r="134" spans="10:11" x14ac:dyDescent="0.35">
      <c r="J134" t="s">
        <v>146</v>
      </c>
      <c r="K134">
        <v>0.75900000000000001</v>
      </c>
    </row>
    <row r="135" spans="10:11" x14ac:dyDescent="0.35">
      <c r="J135" t="s">
        <v>147</v>
      </c>
      <c r="K135">
        <v>0.93500000000000005</v>
      </c>
    </row>
    <row r="136" spans="10:11" x14ac:dyDescent="0.35">
      <c r="J136" t="s">
        <v>148</v>
      </c>
      <c r="K136">
        <v>0.98599999999999999</v>
      </c>
    </row>
    <row r="137" spans="10:11" x14ac:dyDescent="0.35">
      <c r="J137" t="s">
        <v>25</v>
      </c>
      <c r="K137">
        <v>0.4</v>
      </c>
    </row>
    <row r="138" spans="10:11" x14ac:dyDescent="0.35">
      <c r="J138" t="s">
        <v>149</v>
      </c>
      <c r="K138">
        <v>0.97599999999999998</v>
      </c>
    </row>
    <row r="139" spans="10:11" x14ac:dyDescent="0.35">
      <c r="J139" t="s">
        <v>150</v>
      </c>
      <c r="K139">
        <v>0.96799999999999997</v>
      </c>
    </row>
    <row r="140" spans="10:11" x14ac:dyDescent="0.35">
      <c r="J140" t="s">
        <v>151</v>
      </c>
      <c r="K140">
        <v>0.92600000000000005</v>
      </c>
    </row>
    <row r="141" spans="10:11" x14ac:dyDescent="0.35">
      <c r="J141" t="s">
        <v>152</v>
      </c>
      <c r="K141">
        <v>0.95599999999999996</v>
      </c>
    </row>
    <row r="142" spans="10:11" x14ac:dyDescent="0.35">
      <c r="J142" t="s">
        <v>153</v>
      </c>
      <c r="K142">
        <v>0.97699999999999998</v>
      </c>
    </row>
    <row r="143" spans="10:11" x14ac:dyDescent="0.35">
      <c r="J143" t="s">
        <v>154</v>
      </c>
      <c r="K143">
        <v>0.96899999999999997</v>
      </c>
    </row>
    <row r="144" spans="10:11" x14ac:dyDescent="0.35">
      <c r="J144" t="s">
        <v>155</v>
      </c>
      <c r="K144">
        <v>0.92300000000000004</v>
      </c>
    </row>
    <row r="145" spans="10:11" x14ac:dyDescent="0.35">
      <c r="J145" t="s">
        <v>156</v>
      </c>
      <c r="K145">
        <v>1</v>
      </c>
    </row>
    <row r="146" spans="10:11" x14ac:dyDescent="0.35">
      <c r="J146" t="s">
        <v>157</v>
      </c>
      <c r="K146">
        <v>0.999</v>
      </c>
    </row>
    <row r="147" spans="10:11" x14ac:dyDescent="0.35">
      <c r="J147" t="s">
        <v>158</v>
      </c>
      <c r="K147">
        <v>0.995</v>
      </c>
    </row>
    <row r="148" spans="10:11" x14ac:dyDescent="0.35">
      <c r="J148" t="s">
        <v>159</v>
      </c>
      <c r="K148">
        <v>0.99299999999999999</v>
      </c>
    </row>
    <row r="149" spans="10:11" x14ac:dyDescent="0.35">
      <c r="J149" t="s">
        <v>26</v>
      </c>
      <c r="K149">
        <v>0.94399999999999995</v>
      </c>
    </row>
    <row r="150" spans="10:11" x14ac:dyDescent="0.35">
      <c r="J150" t="s">
        <v>160</v>
      </c>
      <c r="K150">
        <v>0.94</v>
      </c>
    </row>
    <row r="151" spans="10:11" x14ac:dyDescent="0.35">
      <c r="J151" t="s">
        <v>161</v>
      </c>
      <c r="K151">
        <v>0.81100000000000005</v>
      </c>
    </row>
    <row r="152" spans="10:11" x14ac:dyDescent="0.35">
      <c r="J152" t="s">
        <v>162</v>
      </c>
      <c r="K152">
        <v>0.73099999999999998</v>
      </c>
    </row>
    <row r="153" spans="10:11" x14ac:dyDescent="0.35">
      <c r="J153" t="s">
        <v>163</v>
      </c>
      <c r="K153">
        <v>0.748</v>
      </c>
    </row>
    <row r="154" spans="10:11" x14ac:dyDescent="0.35">
      <c r="J154" t="s">
        <v>164</v>
      </c>
      <c r="K154">
        <v>1</v>
      </c>
    </row>
    <row r="155" spans="10:11" x14ac:dyDescent="0.35">
      <c r="J155" t="s">
        <v>165</v>
      </c>
      <c r="K155">
        <v>0.64800000000000002</v>
      </c>
    </row>
    <row r="156" spans="10:11" x14ac:dyDescent="0.35">
      <c r="J156" t="s">
        <v>166</v>
      </c>
      <c r="K156">
        <v>0.65400000000000003</v>
      </c>
    </row>
    <row r="157" spans="10:11" x14ac:dyDescent="0.35">
      <c r="J157" t="s">
        <v>167</v>
      </c>
      <c r="K157">
        <v>0.68799999999999994</v>
      </c>
    </row>
    <row r="158" spans="10:11" x14ac:dyDescent="0.35">
      <c r="J158" t="s">
        <v>168</v>
      </c>
      <c r="K158">
        <v>0.72699999999999998</v>
      </c>
    </row>
    <row r="159" spans="10:11" x14ac:dyDescent="0.35">
      <c r="J159" t="s">
        <v>169</v>
      </c>
      <c r="K159">
        <v>0.85699999999999998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FE79-BA42-440C-BB89-A00B7B43082B}">
  <dimension ref="A1:O29"/>
  <sheetViews>
    <sheetView tabSelected="1" workbookViewId="0">
      <selection activeCell="F11" sqref="F11"/>
    </sheetView>
  </sheetViews>
  <sheetFormatPr defaultRowHeight="14.5" x14ac:dyDescent="0.35"/>
  <cols>
    <col min="1" max="1" width="23.54296875" bestFit="1" customWidth="1"/>
  </cols>
  <sheetData>
    <row r="1" spans="1:15" x14ac:dyDescent="0.35">
      <c r="B1" t="s">
        <v>27</v>
      </c>
      <c r="C1" t="s">
        <v>172</v>
      </c>
      <c r="D1" t="s">
        <v>173</v>
      </c>
      <c r="E1" t="s">
        <v>37</v>
      </c>
      <c r="F1" t="s">
        <v>174</v>
      </c>
      <c r="H1" t="s">
        <v>27</v>
      </c>
      <c r="I1" t="s">
        <v>172</v>
      </c>
      <c r="J1" t="s">
        <v>173</v>
      </c>
      <c r="K1" t="s">
        <v>37</v>
      </c>
      <c r="L1" t="s">
        <v>174</v>
      </c>
      <c r="N1" t="s">
        <v>27</v>
      </c>
      <c r="O1" t="s">
        <v>174</v>
      </c>
    </row>
    <row r="2" spans="1:15" x14ac:dyDescent="0.35">
      <c r="A2" t="s">
        <v>1</v>
      </c>
      <c r="B2">
        <f>ROUND(N2,3)</f>
        <v>0.99299999999999999</v>
      </c>
      <c r="C2">
        <f>VLOOKUP(A2,Sheet1!D2:E310,2,FALSE)</f>
        <v>0.98799999999999999</v>
      </c>
      <c r="D2">
        <f>ROUND(VLOOKUP(A2,Sheet1!$G$2:$H$310,2,FALSE),3)</f>
        <v>0.99299999999999999</v>
      </c>
      <c r="E2">
        <f>VLOOKUP(A2,Sheet1!$J$2:$K$310,2,FALSE)</f>
        <v>0.99299999999999999</v>
      </c>
      <c r="F2">
        <f>ROUND(O2,3)</f>
        <v>0.98299999999999998</v>
      </c>
      <c r="H2">
        <f>_xlfn.RANK.AVG(B2,$B2:$F2)</f>
        <v>2</v>
      </c>
      <c r="I2">
        <f t="shared" ref="I2:L2" si="0">_xlfn.RANK.AVG(C2,$B2:$F2)</f>
        <v>4</v>
      </c>
      <c r="J2">
        <f t="shared" si="0"/>
        <v>2</v>
      </c>
      <c r="K2">
        <f t="shared" si="0"/>
        <v>2</v>
      </c>
      <c r="L2">
        <f t="shared" si="0"/>
        <v>5</v>
      </c>
      <c r="N2">
        <v>0.99333333333333296</v>
      </c>
      <c r="O2">
        <v>0.98333333333333295</v>
      </c>
    </row>
    <row r="3" spans="1:15" x14ac:dyDescent="0.35">
      <c r="A3" t="s">
        <v>2</v>
      </c>
      <c r="B3">
        <f t="shared" ref="B3:B27" si="1">ROUND(N3,3)</f>
        <v>0.26700000000000002</v>
      </c>
      <c r="C3">
        <f>VLOOKUP(A3,Sheet1!D3:E32,2,FALSE)</f>
        <v>0.191</v>
      </c>
      <c r="D3">
        <f>VLOOKUP(A3,Sheet1!$G$2:$H$310,2,FALSE)</f>
        <v>0.2</v>
      </c>
      <c r="E3">
        <f>VLOOKUP(A3,Sheet1!$J$2:$K$310,2,FALSE)</f>
        <v>0.26700000000000002</v>
      </c>
      <c r="F3">
        <f t="shared" ref="F3:F27" si="2">ROUND(O3,3)</f>
        <v>0.33300000000000002</v>
      </c>
      <c r="H3">
        <f t="shared" ref="H3:H27" si="3">_xlfn.RANK.AVG(B3,$B3:$F3)</f>
        <v>2.5</v>
      </c>
      <c r="I3">
        <f t="shared" ref="I3:I27" si="4">_xlfn.RANK.AVG(C3,$B3:$F3)</f>
        <v>5</v>
      </c>
      <c r="J3">
        <f t="shared" ref="J3:J27" si="5">_xlfn.RANK.AVG(D3,$B3:$F3)</f>
        <v>4</v>
      </c>
      <c r="K3">
        <f t="shared" ref="K3:K27" si="6">_xlfn.RANK.AVG(E3,$B3:$F3)</f>
        <v>2.5</v>
      </c>
      <c r="L3">
        <f t="shared" ref="L3:L27" si="7">_xlfn.RANK.AVG(F3,$B3:$F3)</f>
        <v>1</v>
      </c>
      <c r="N3">
        <v>0.266666666666666</v>
      </c>
      <c r="O3">
        <v>0.33333333333333298</v>
      </c>
    </row>
    <row r="4" spans="1:15" x14ac:dyDescent="0.35">
      <c r="A4" t="s">
        <v>3</v>
      </c>
      <c r="B4">
        <f t="shared" si="1"/>
        <v>1</v>
      </c>
      <c r="C4">
        <f>VLOOKUP(A4,Sheet1!D4:E33,2,FALSE)</f>
        <v>0.98199999999999998</v>
      </c>
      <c r="D4">
        <f>VLOOKUP(A4,Sheet1!$G$2:$H$310,2,FALSE)</f>
        <v>1</v>
      </c>
      <c r="E4">
        <f>VLOOKUP(A4,Sheet1!$J$2:$K$310,2,FALSE)</f>
        <v>0.97499999999999998</v>
      </c>
      <c r="F4">
        <f t="shared" si="2"/>
        <v>1</v>
      </c>
      <c r="H4">
        <f t="shared" si="3"/>
        <v>2</v>
      </c>
      <c r="I4">
        <f t="shared" si="4"/>
        <v>4</v>
      </c>
      <c r="J4">
        <f t="shared" si="5"/>
        <v>2</v>
      </c>
      <c r="K4">
        <f t="shared" si="6"/>
        <v>5</v>
      </c>
      <c r="L4">
        <f t="shared" si="7"/>
        <v>2</v>
      </c>
      <c r="N4">
        <v>1</v>
      </c>
      <c r="O4">
        <v>1</v>
      </c>
    </row>
    <row r="5" spans="1:15" x14ac:dyDescent="0.35">
      <c r="A5" t="s">
        <v>4</v>
      </c>
      <c r="B5">
        <f t="shared" si="1"/>
        <v>1</v>
      </c>
      <c r="C5">
        <f>VLOOKUP(A5,Sheet1!D5:E34,2,FALSE)</f>
        <v>0.97699999999999998</v>
      </c>
      <c r="D5">
        <f>VLOOKUP(A5,Sheet1!$G$2:$H$310,2,FALSE)</f>
        <v>1</v>
      </c>
      <c r="E5">
        <f>VLOOKUP(A5,Sheet1!$J$2:$K$310,2,FALSE)</f>
        <v>1</v>
      </c>
      <c r="F5">
        <f t="shared" si="2"/>
        <v>0.98599999999999999</v>
      </c>
      <c r="H5">
        <f t="shared" si="3"/>
        <v>2</v>
      </c>
      <c r="I5">
        <f t="shared" si="4"/>
        <v>5</v>
      </c>
      <c r="J5">
        <f t="shared" si="5"/>
        <v>2</v>
      </c>
      <c r="K5">
        <f t="shared" si="6"/>
        <v>2</v>
      </c>
      <c r="L5">
        <f t="shared" si="7"/>
        <v>4</v>
      </c>
      <c r="N5">
        <v>1</v>
      </c>
      <c r="O5">
        <v>0.98611111111111105</v>
      </c>
    </row>
    <row r="6" spans="1:15" x14ac:dyDescent="0.35">
      <c r="A6" t="s">
        <v>5</v>
      </c>
      <c r="B6">
        <f t="shared" si="1"/>
        <v>0.56000000000000005</v>
      </c>
      <c r="C6">
        <f>VLOOKUP(A6,Sheet1!D6:E35,2,FALSE)</f>
        <v>0.51</v>
      </c>
      <c r="D6">
        <f>VLOOKUP(A6,Sheet1!$G$2:$H$310,2,FALSE)</f>
        <v>0.18</v>
      </c>
      <c r="E6">
        <f>VLOOKUP(A6,Sheet1!$J$2:$K$310,2,FALSE)</f>
        <v>0.44</v>
      </c>
      <c r="F6">
        <f t="shared" si="2"/>
        <v>0.44</v>
      </c>
      <c r="H6">
        <f t="shared" si="3"/>
        <v>1</v>
      </c>
      <c r="I6">
        <f t="shared" si="4"/>
        <v>2</v>
      </c>
      <c r="J6">
        <f t="shared" si="5"/>
        <v>5</v>
      </c>
      <c r="K6">
        <f t="shared" si="6"/>
        <v>3.5</v>
      </c>
      <c r="L6">
        <f t="shared" si="7"/>
        <v>3.5</v>
      </c>
      <c r="N6">
        <v>0.56000000000000005</v>
      </c>
      <c r="O6">
        <v>0.44</v>
      </c>
    </row>
    <row r="7" spans="1:15" x14ac:dyDescent="0.35">
      <c r="A7" t="s">
        <v>6</v>
      </c>
      <c r="B7">
        <f t="shared" si="1"/>
        <v>0.98899999999999999</v>
      </c>
      <c r="C7">
        <f>VLOOKUP(A7,Sheet1!D7:E36,2,FALSE)</f>
        <v>0.93099999999999905</v>
      </c>
      <c r="D7">
        <f>VLOOKUP(A7,Sheet1!$G$2:$H$310,2,FALSE)</f>
        <v>0.81849999999999901</v>
      </c>
      <c r="E7">
        <f>VLOOKUP(A7,Sheet1!$J$2:$K$310,2,FALSE)</f>
        <v>0.95199999999999996</v>
      </c>
      <c r="F7">
        <f t="shared" si="2"/>
        <v>0.98099999999999998</v>
      </c>
      <c r="H7">
        <f t="shared" si="3"/>
        <v>1</v>
      </c>
      <c r="I7">
        <f t="shared" si="4"/>
        <v>4</v>
      </c>
      <c r="J7">
        <f t="shared" si="5"/>
        <v>5</v>
      </c>
      <c r="K7">
        <f t="shared" si="6"/>
        <v>3</v>
      </c>
      <c r="L7">
        <f t="shared" si="7"/>
        <v>2</v>
      </c>
      <c r="N7">
        <v>0.98888888888888804</v>
      </c>
      <c r="O7">
        <v>0.98148148148148096</v>
      </c>
    </row>
    <row r="8" spans="1:15" x14ac:dyDescent="0.35">
      <c r="A8" t="s">
        <v>7</v>
      </c>
      <c r="B8">
        <f t="shared" si="1"/>
        <v>0.94699999999999995</v>
      </c>
      <c r="C8">
        <f>VLOOKUP(A8,Sheet1!D8:E37,2,FALSE)</f>
        <v>0.89500000000000002</v>
      </c>
      <c r="D8">
        <f>VLOOKUP(A8,Sheet1!$G$2:$H$310,2,FALSE)</f>
        <v>0.58779999999999999</v>
      </c>
      <c r="E8">
        <f>VLOOKUP(A8,Sheet1!$J$2:$K$310,2,FALSE)</f>
        <v>0.87</v>
      </c>
      <c r="F8">
        <f t="shared" si="2"/>
        <v>0.91600000000000004</v>
      </c>
      <c r="H8">
        <f t="shared" si="3"/>
        <v>1</v>
      </c>
      <c r="I8">
        <f t="shared" si="4"/>
        <v>3</v>
      </c>
      <c r="J8">
        <f t="shared" si="5"/>
        <v>5</v>
      </c>
      <c r="K8">
        <f t="shared" si="6"/>
        <v>4</v>
      </c>
      <c r="L8">
        <f t="shared" si="7"/>
        <v>2</v>
      </c>
      <c r="N8">
        <v>0.94656488549618301</v>
      </c>
      <c r="O8">
        <v>0.91603053435114501</v>
      </c>
    </row>
    <row r="9" spans="1:15" x14ac:dyDescent="0.35">
      <c r="A9" t="s">
        <v>8</v>
      </c>
      <c r="B9">
        <f t="shared" si="1"/>
        <v>1</v>
      </c>
      <c r="C9">
        <f>VLOOKUP(A9,Sheet1!D9:E38,2,FALSE)</f>
        <v>0.999</v>
      </c>
      <c r="D9">
        <f>VLOOKUP(A9,Sheet1!$G$2:$H$310,2,FALSE)</f>
        <v>0.99280000000000002</v>
      </c>
      <c r="E9">
        <f>VLOOKUP(A9,Sheet1!$J$2:$K$310,2,FALSE)</f>
        <v>0.99299999999999999</v>
      </c>
      <c r="F9">
        <f t="shared" si="2"/>
        <v>0.98599999999999999</v>
      </c>
      <c r="H9">
        <f t="shared" si="3"/>
        <v>1</v>
      </c>
      <c r="I9">
        <f t="shared" si="4"/>
        <v>2</v>
      </c>
      <c r="J9">
        <f t="shared" si="5"/>
        <v>4</v>
      </c>
      <c r="K9">
        <f t="shared" si="6"/>
        <v>3</v>
      </c>
      <c r="L9">
        <f t="shared" si="7"/>
        <v>5</v>
      </c>
      <c r="N9">
        <v>1</v>
      </c>
      <c r="O9">
        <v>0.98550724637681097</v>
      </c>
    </row>
    <row r="10" spans="1:15" x14ac:dyDescent="0.35">
      <c r="A10" t="s">
        <v>9</v>
      </c>
      <c r="B10">
        <f t="shared" si="1"/>
        <v>0.77200000000000002</v>
      </c>
      <c r="C10">
        <f>VLOOKUP(A10,Sheet1!D10:E39,2,FALSE)</f>
        <v>0.26</v>
      </c>
      <c r="D10">
        <f>VLOOKUP(A10,Sheet1!$G$2:$H$310,2,FALSE)</f>
        <v>0.39539999999999997</v>
      </c>
      <c r="E10">
        <f>VLOOKUP(A10,Sheet1!$J$2:$K$310,2,FALSE)</f>
        <v>0.36899999999999999</v>
      </c>
      <c r="F10">
        <f t="shared" si="2"/>
        <v>0.73399999999999999</v>
      </c>
      <c r="H10">
        <f t="shared" si="3"/>
        <v>1</v>
      </c>
      <c r="I10">
        <f t="shared" si="4"/>
        <v>5</v>
      </c>
      <c r="J10">
        <f t="shared" si="5"/>
        <v>3</v>
      </c>
      <c r="K10">
        <f t="shared" si="6"/>
        <v>4</v>
      </c>
      <c r="L10">
        <f t="shared" si="7"/>
        <v>2</v>
      </c>
      <c r="N10">
        <v>0.77186311787072204</v>
      </c>
      <c r="O10">
        <v>0.73384030418250901</v>
      </c>
    </row>
    <row r="11" spans="1:15" x14ac:dyDescent="0.35">
      <c r="A11" t="s">
        <v>10</v>
      </c>
      <c r="B11">
        <f t="shared" si="1"/>
        <v>0.66</v>
      </c>
      <c r="C11">
        <f>VLOOKUP(A11,Sheet1!D11:E40,2,FALSE)</f>
        <v>0.55700000000000005</v>
      </c>
      <c r="D11">
        <f>VLOOKUP(A11,Sheet1!$G$2:$H$310,2,FALSE)</f>
        <v>0.50739999999999996</v>
      </c>
      <c r="E11">
        <f>VLOOKUP(A11,Sheet1!$J$2:$K$310,2,FALSE)</f>
        <v>0.58899999999999997</v>
      </c>
      <c r="F11">
        <f t="shared" si="2"/>
        <v>0.627</v>
      </c>
      <c r="H11">
        <f t="shared" si="3"/>
        <v>1</v>
      </c>
      <c r="I11">
        <f t="shared" si="4"/>
        <v>4</v>
      </c>
      <c r="J11">
        <f t="shared" si="5"/>
        <v>5</v>
      </c>
      <c r="K11">
        <f t="shared" si="6"/>
        <v>3</v>
      </c>
      <c r="L11">
        <f t="shared" si="7"/>
        <v>2</v>
      </c>
      <c r="N11">
        <v>0.66032917139614</v>
      </c>
      <c r="O11">
        <v>0.62712826333711602</v>
      </c>
    </row>
    <row r="12" spans="1:15" x14ac:dyDescent="0.35">
      <c r="A12" t="s">
        <v>11</v>
      </c>
      <c r="B12">
        <f t="shared" si="1"/>
        <v>0.53</v>
      </c>
      <c r="C12">
        <f>VLOOKUP(A12,Sheet1!D12:E41,2,FALSE)</f>
        <v>0.501</v>
      </c>
      <c r="D12">
        <f>VLOOKUP(A12,Sheet1!$G$2:$H$310,2,FALSE)</f>
        <v>0.59</v>
      </c>
      <c r="E12">
        <f>VLOOKUP(A12,Sheet1!$J$2:$K$310,2,FALSE)</f>
        <v>0.56000000000000005</v>
      </c>
      <c r="F12">
        <f t="shared" si="2"/>
        <v>0.52</v>
      </c>
      <c r="H12">
        <f t="shared" si="3"/>
        <v>3</v>
      </c>
      <c r="I12">
        <f t="shared" si="4"/>
        <v>5</v>
      </c>
      <c r="J12">
        <f t="shared" si="5"/>
        <v>1</v>
      </c>
      <c r="K12">
        <f t="shared" si="6"/>
        <v>2</v>
      </c>
      <c r="L12">
        <f t="shared" si="7"/>
        <v>4</v>
      </c>
      <c r="N12">
        <v>0.53</v>
      </c>
      <c r="O12">
        <v>0.52</v>
      </c>
    </row>
    <row r="13" spans="1:15" x14ac:dyDescent="0.35">
      <c r="A13" t="s">
        <v>12</v>
      </c>
      <c r="B13">
        <f t="shared" si="1"/>
        <v>0.47299999999999998</v>
      </c>
      <c r="C13">
        <f>VLOOKUP(A13,Sheet1!D13:E42,2,FALSE)</f>
        <v>0.245</v>
      </c>
      <c r="D13">
        <f>VLOOKUP(A13,Sheet1!$G$2:$H$310,2,FALSE)</f>
        <v>0.33779999999999999</v>
      </c>
      <c r="E13">
        <f>VLOOKUP(A13,Sheet1!$J$2:$K$310,2,FALSE)</f>
        <v>0.28399999999999997</v>
      </c>
      <c r="F13">
        <f t="shared" si="2"/>
        <v>0.59499999999999997</v>
      </c>
      <c r="H13">
        <f t="shared" si="3"/>
        <v>2</v>
      </c>
      <c r="I13">
        <f t="shared" si="4"/>
        <v>5</v>
      </c>
      <c r="J13">
        <f t="shared" si="5"/>
        <v>3</v>
      </c>
      <c r="K13">
        <f t="shared" si="6"/>
        <v>4</v>
      </c>
      <c r="L13">
        <f t="shared" si="7"/>
        <v>1</v>
      </c>
      <c r="N13">
        <v>0.47297297297297197</v>
      </c>
      <c r="O13">
        <v>0.59459459459459396</v>
      </c>
    </row>
    <row r="14" spans="1:15" x14ac:dyDescent="0.35">
      <c r="A14" t="s">
        <v>13</v>
      </c>
      <c r="B14">
        <f t="shared" si="1"/>
        <v>0.54800000000000004</v>
      </c>
      <c r="C14">
        <f>VLOOKUP(A14,Sheet1!D14:E43,2,FALSE)</f>
        <v>0.27399999999999902</v>
      </c>
      <c r="D14">
        <f>VLOOKUP(A14,Sheet1!$G$2:$H$310,2,FALSE)</f>
        <v>0.26939999999999997</v>
      </c>
      <c r="E14">
        <f>VLOOKUP(A14,Sheet1!$J$2:$K$310,2,FALSE)</f>
        <v>0.52</v>
      </c>
      <c r="F14">
        <f t="shared" si="2"/>
        <v>0.35599999999999998</v>
      </c>
      <c r="H14">
        <f t="shared" si="3"/>
        <v>1</v>
      </c>
      <c r="I14">
        <f t="shared" si="4"/>
        <v>4</v>
      </c>
      <c r="J14">
        <f t="shared" si="5"/>
        <v>5</v>
      </c>
      <c r="K14">
        <f t="shared" si="6"/>
        <v>2</v>
      </c>
      <c r="L14">
        <f t="shared" si="7"/>
        <v>3</v>
      </c>
      <c r="N14">
        <v>0.54823529411764704</v>
      </c>
      <c r="O14">
        <v>0.35647058823529398</v>
      </c>
    </row>
    <row r="15" spans="1:15" x14ac:dyDescent="0.35">
      <c r="A15" t="s">
        <v>14</v>
      </c>
      <c r="B15">
        <f t="shared" si="1"/>
        <v>0.73199999999999998</v>
      </c>
      <c r="C15">
        <f>VLOOKUP(A15,Sheet1!D15:E44,2,FALSE)</f>
        <v>0.76800000000000002</v>
      </c>
      <c r="D15">
        <f>VLOOKUP(A15,Sheet1!$G$2:$H$310,2,FALSE)</f>
        <v>0.7268</v>
      </c>
      <c r="E15">
        <f>VLOOKUP(A15,Sheet1!$J$2:$K$310,2,FALSE)</f>
        <v>0.74099999999999999</v>
      </c>
      <c r="F15">
        <f t="shared" si="2"/>
        <v>0.78</v>
      </c>
      <c r="H15">
        <f t="shared" si="3"/>
        <v>4</v>
      </c>
      <c r="I15">
        <f t="shared" si="4"/>
        <v>2</v>
      </c>
      <c r="J15">
        <f t="shared" si="5"/>
        <v>5</v>
      </c>
      <c r="K15">
        <f t="shared" si="6"/>
        <v>3</v>
      </c>
      <c r="L15">
        <f t="shared" si="7"/>
        <v>1</v>
      </c>
      <c r="N15">
        <v>0.73170731707317005</v>
      </c>
      <c r="O15">
        <v>0.78048780487804803</v>
      </c>
    </row>
    <row r="16" spans="1:15" x14ac:dyDescent="0.35">
      <c r="A16" t="s">
        <v>15</v>
      </c>
      <c r="B16">
        <f t="shared" si="1"/>
        <v>0.64300000000000002</v>
      </c>
      <c r="C16">
        <f>VLOOKUP(A16,Sheet1!D16:E45,2,FALSE)</f>
        <v>0.67299999999999904</v>
      </c>
      <c r="D16">
        <f>VLOOKUP(A16,Sheet1!$G$2:$H$310,2,FALSE)</f>
        <v>0.3362</v>
      </c>
      <c r="E16">
        <f>VLOOKUP(A16,Sheet1!$J$2:$K$310,2,FALSE)</f>
        <v>0.60299999999999998</v>
      </c>
      <c r="F16">
        <f t="shared" si="2"/>
        <v>0.57299999999999995</v>
      </c>
      <c r="H16">
        <f t="shared" si="3"/>
        <v>2</v>
      </c>
      <c r="I16">
        <f t="shared" si="4"/>
        <v>1</v>
      </c>
      <c r="J16">
        <f t="shared" si="5"/>
        <v>5</v>
      </c>
      <c r="K16">
        <f t="shared" si="6"/>
        <v>3</v>
      </c>
      <c r="L16">
        <f t="shared" si="7"/>
        <v>4</v>
      </c>
      <c r="N16">
        <v>0.64274128142741205</v>
      </c>
      <c r="O16">
        <v>0.57258718572587097</v>
      </c>
    </row>
    <row r="17" spans="1:15" x14ac:dyDescent="0.35">
      <c r="A17" t="s">
        <v>16</v>
      </c>
      <c r="B17">
        <f t="shared" si="1"/>
        <v>0.93300000000000005</v>
      </c>
      <c r="C17">
        <f>VLOOKUP(A17,Sheet1!D17:E46,2,FALSE)</f>
        <v>0.84699999999999998</v>
      </c>
      <c r="D17">
        <f>VLOOKUP(A17,Sheet1!$G$2:$H$310,2,FALSE)</f>
        <v>0.85560000000000003</v>
      </c>
      <c r="E17">
        <f>VLOOKUP(A17,Sheet1!$J$2:$K$310,2,FALSE)</f>
        <v>0.84399999999999997</v>
      </c>
      <c r="F17">
        <f t="shared" si="2"/>
        <v>0.91100000000000003</v>
      </c>
      <c r="H17">
        <f t="shared" si="3"/>
        <v>1</v>
      </c>
      <c r="I17">
        <f t="shared" si="4"/>
        <v>4</v>
      </c>
      <c r="J17">
        <f t="shared" si="5"/>
        <v>3</v>
      </c>
      <c r="K17">
        <f t="shared" si="6"/>
        <v>5</v>
      </c>
      <c r="L17">
        <f t="shared" si="7"/>
        <v>2</v>
      </c>
      <c r="N17">
        <v>0.93333333333333302</v>
      </c>
      <c r="O17">
        <v>0.91111111111111098</v>
      </c>
    </row>
    <row r="18" spans="1:15" x14ac:dyDescent="0.35">
      <c r="A18" t="s">
        <v>17</v>
      </c>
      <c r="B18">
        <f t="shared" si="1"/>
        <v>0.54</v>
      </c>
      <c r="C18">
        <f>VLOOKUP(A18,Sheet1!D18:E47,2,FALSE)</f>
        <v>0.503</v>
      </c>
      <c r="D18">
        <f>VLOOKUP(A18,Sheet1!$G$2:$H$310,2,FALSE)</f>
        <v>0.5</v>
      </c>
      <c r="E18">
        <f>VLOOKUP(A18,Sheet1!$J$2:$K$310,2,FALSE)</f>
        <v>0.46</v>
      </c>
      <c r="F18">
        <f t="shared" si="2"/>
        <v>0.5</v>
      </c>
      <c r="H18">
        <f t="shared" si="3"/>
        <v>1</v>
      </c>
      <c r="I18">
        <f t="shared" si="4"/>
        <v>2</v>
      </c>
      <c r="J18">
        <f t="shared" si="5"/>
        <v>3.5</v>
      </c>
      <c r="K18">
        <f t="shared" si="6"/>
        <v>5</v>
      </c>
      <c r="L18">
        <f t="shared" si="7"/>
        <v>3.5</v>
      </c>
      <c r="N18">
        <v>0.54</v>
      </c>
      <c r="O18">
        <v>0.5</v>
      </c>
    </row>
    <row r="19" spans="1:15" x14ac:dyDescent="0.35">
      <c r="A19" t="s">
        <v>18</v>
      </c>
      <c r="B19">
        <f t="shared" si="1"/>
        <v>0.89400000000000002</v>
      </c>
      <c r="C19">
        <f>VLOOKUP(A19,Sheet1!D19:E48,2,FALSE)</f>
        <v>0.83499999999999996</v>
      </c>
      <c r="D19">
        <f>VLOOKUP(A19,Sheet1!$G$2:$H$310,2,FALSE)</f>
        <v>0.87780000000000002</v>
      </c>
      <c r="E19">
        <f>VLOOKUP(A19,Sheet1!$J$2:$K$310,2,FALSE)</f>
        <v>0.91700000000000004</v>
      </c>
      <c r="F19">
        <f t="shared" si="2"/>
        <v>0.85599999999999998</v>
      </c>
      <c r="H19">
        <f t="shared" si="3"/>
        <v>2</v>
      </c>
      <c r="I19">
        <f t="shared" si="4"/>
        <v>5</v>
      </c>
      <c r="J19">
        <f t="shared" si="5"/>
        <v>3</v>
      </c>
      <c r="K19">
        <f t="shared" si="6"/>
        <v>1</v>
      </c>
      <c r="L19">
        <f t="shared" si="7"/>
        <v>4</v>
      </c>
      <c r="N19">
        <v>0.89444444444444404</v>
      </c>
      <c r="O19">
        <v>0.85555555555555496</v>
      </c>
    </row>
    <row r="20" spans="1:15" x14ac:dyDescent="0.35">
      <c r="A20" t="s">
        <v>19</v>
      </c>
      <c r="B20">
        <f t="shared" si="1"/>
        <v>1</v>
      </c>
      <c r="C20">
        <f>VLOOKUP(A20,Sheet1!D20:E49,2,FALSE)</f>
        <v>0.999</v>
      </c>
      <c r="D20">
        <f>VLOOKUP(A20,Sheet1!$G$2:$H$310,2,FALSE)</f>
        <v>0.36420000000000002</v>
      </c>
      <c r="E20">
        <f>VLOOKUP(A20,Sheet1!$J$2:$K$310,2,FALSE)</f>
        <v>0.90800000000000003</v>
      </c>
      <c r="F20">
        <f t="shared" si="2"/>
        <v>1</v>
      </c>
      <c r="H20">
        <f t="shared" si="3"/>
        <v>1.5</v>
      </c>
      <c r="I20">
        <f t="shared" si="4"/>
        <v>3</v>
      </c>
      <c r="J20">
        <f t="shared" si="5"/>
        <v>5</v>
      </c>
      <c r="K20">
        <f t="shared" si="6"/>
        <v>4</v>
      </c>
      <c r="L20">
        <f t="shared" si="7"/>
        <v>1.5</v>
      </c>
      <c r="N20">
        <v>1</v>
      </c>
      <c r="O20">
        <v>1</v>
      </c>
    </row>
    <row r="21" spans="1:15" x14ac:dyDescent="0.35">
      <c r="A21" t="s">
        <v>20</v>
      </c>
      <c r="B21">
        <f t="shared" si="1"/>
        <v>0.97899999999999998</v>
      </c>
      <c r="C21">
        <f>VLOOKUP(A21,Sheet1!D21:E50,2,FALSE)</f>
        <v>0.95199999999999996</v>
      </c>
      <c r="D21">
        <f>VLOOKUP(A21,Sheet1!$G$2:$H$310,2,FALSE)</f>
        <v>0.62090000000000001</v>
      </c>
      <c r="E21">
        <f>VLOOKUP(A21,Sheet1!$J$2:$K$310,2,FALSE)</f>
        <v>0.92</v>
      </c>
      <c r="F21">
        <f t="shared" si="2"/>
        <v>0.96699999999999997</v>
      </c>
      <c r="H21">
        <f t="shared" si="3"/>
        <v>1</v>
      </c>
      <c r="I21">
        <f t="shared" si="4"/>
        <v>3</v>
      </c>
      <c r="J21">
        <f t="shared" si="5"/>
        <v>5</v>
      </c>
      <c r="K21">
        <f t="shared" si="6"/>
        <v>4</v>
      </c>
      <c r="L21">
        <f t="shared" si="7"/>
        <v>2</v>
      </c>
      <c r="N21">
        <v>0.97913093196112</v>
      </c>
      <c r="O21">
        <v>0.967409948542024</v>
      </c>
    </row>
    <row r="22" spans="1:15" x14ac:dyDescent="0.35">
      <c r="A22" t="s">
        <v>21</v>
      </c>
      <c r="B22">
        <f t="shared" si="1"/>
        <v>0.28999999999999998</v>
      </c>
      <c r="C22">
        <f>VLOOKUP(A22,Sheet1!D22:E51,2,FALSE)</f>
        <v>0.28399999999999997</v>
      </c>
      <c r="D22">
        <f>VLOOKUP(A22,Sheet1!$G$2:$H$310,2,FALSE)</f>
        <v>0.17859999999999901</v>
      </c>
      <c r="E22">
        <f>VLOOKUP(A22,Sheet1!$J$2:$K$310,2,FALSE)</f>
        <v>0.251</v>
      </c>
      <c r="F22">
        <f t="shared" si="2"/>
        <v>0.26500000000000001</v>
      </c>
      <c r="H22">
        <f t="shared" si="3"/>
        <v>1</v>
      </c>
      <c r="I22">
        <f t="shared" si="4"/>
        <v>2</v>
      </c>
      <c r="J22">
        <f t="shared" si="5"/>
        <v>5</v>
      </c>
      <c r="K22">
        <f t="shared" si="6"/>
        <v>4</v>
      </c>
      <c r="L22">
        <f t="shared" si="7"/>
        <v>3</v>
      </c>
      <c r="N22">
        <v>0.29048613182224797</v>
      </c>
      <c r="O22">
        <v>0.26543393975544199</v>
      </c>
    </row>
    <row r="23" spans="1:15" x14ac:dyDescent="0.35">
      <c r="A23" t="s">
        <v>22</v>
      </c>
      <c r="B23">
        <f t="shared" si="1"/>
        <v>0.90800000000000003</v>
      </c>
      <c r="C23">
        <f>VLOOKUP(A23,Sheet1!D23:E52,2,FALSE)</f>
        <v>0.80599999999999905</v>
      </c>
      <c r="D23">
        <f>VLOOKUP(A23,Sheet1!$G$2:$H$310,2,FALSE)</f>
        <v>0.84870000000000001</v>
      </c>
      <c r="E23">
        <f>VLOOKUP(A23,Sheet1!$J$2:$K$310,2,FALSE)</f>
        <v>0.90800000000000003</v>
      </c>
      <c r="F23">
        <f t="shared" si="2"/>
        <v>0.88200000000000001</v>
      </c>
      <c r="H23">
        <f t="shared" si="3"/>
        <v>1.5</v>
      </c>
      <c r="I23">
        <f t="shared" si="4"/>
        <v>5</v>
      </c>
      <c r="J23">
        <f t="shared" si="5"/>
        <v>4</v>
      </c>
      <c r="K23">
        <f t="shared" si="6"/>
        <v>1.5</v>
      </c>
      <c r="L23">
        <f t="shared" si="7"/>
        <v>3</v>
      </c>
      <c r="N23">
        <v>0.90789473684210498</v>
      </c>
      <c r="O23">
        <v>0.88157894736842102</v>
      </c>
    </row>
    <row r="24" spans="1:15" x14ac:dyDescent="0.35">
      <c r="A24" t="s">
        <v>23</v>
      </c>
      <c r="B24">
        <f t="shared" si="1"/>
        <v>0.89100000000000001</v>
      </c>
      <c r="C24">
        <f>VLOOKUP(A24,Sheet1!D24:E53,2,FALSE)</f>
        <v>0.82</v>
      </c>
      <c r="D24">
        <f>VLOOKUP(A24,Sheet1!$G$2:$H$310,2,FALSE)</f>
        <v>0.85670000000000002</v>
      </c>
      <c r="E24">
        <f>VLOOKUP(A24,Sheet1!$J$2:$K$310,2,FALSE)</f>
        <v>0.75800000000000001</v>
      </c>
      <c r="F24">
        <f t="shared" si="2"/>
        <v>0.86</v>
      </c>
      <c r="H24">
        <f t="shared" si="3"/>
        <v>1</v>
      </c>
      <c r="I24">
        <f t="shared" si="4"/>
        <v>4</v>
      </c>
      <c r="J24">
        <f t="shared" si="5"/>
        <v>3</v>
      </c>
      <c r="K24">
        <f t="shared" si="6"/>
        <v>5</v>
      </c>
      <c r="L24">
        <f t="shared" si="7"/>
        <v>2</v>
      </c>
      <c r="N24">
        <v>0.89078498293515296</v>
      </c>
      <c r="O24">
        <v>0.860068259385665</v>
      </c>
    </row>
    <row r="25" spans="1:15" x14ac:dyDescent="0.35">
      <c r="A25" t="s">
        <v>24</v>
      </c>
      <c r="B25">
        <f t="shared" si="1"/>
        <v>0.5</v>
      </c>
      <c r="C25">
        <f>VLOOKUP(A25,Sheet1!D25:E54,2,FALSE)</f>
        <v>0.41799999999999998</v>
      </c>
      <c r="D25">
        <f>VLOOKUP(A25,Sheet1!$G$2:$H$310,2,FALSE)</f>
        <v>0.4778</v>
      </c>
      <c r="E25">
        <f>VLOOKUP(A25,Sheet1!$J$2:$K$310,2,FALSE)</f>
        <v>0.47199999999999998</v>
      </c>
      <c r="F25">
        <f t="shared" si="2"/>
        <v>0.5</v>
      </c>
      <c r="H25">
        <f t="shared" si="3"/>
        <v>1.5</v>
      </c>
      <c r="I25">
        <f t="shared" si="4"/>
        <v>5</v>
      </c>
      <c r="J25">
        <f t="shared" si="5"/>
        <v>3</v>
      </c>
      <c r="K25">
        <f t="shared" si="6"/>
        <v>4</v>
      </c>
      <c r="L25">
        <f t="shared" si="7"/>
        <v>1.5</v>
      </c>
      <c r="N25">
        <v>0.5</v>
      </c>
      <c r="O25">
        <v>0.5</v>
      </c>
    </row>
    <row r="26" spans="1:15" x14ac:dyDescent="0.35">
      <c r="A26" t="s">
        <v>25</v>
      </c>
      <c r="B26">
        <f t="shared" si="1"/>
        <v>0.46700000000000003</v>
      </c>
      <c r="C26">
        <f>VLOOKUP(A26,Sheet1!D26:E55,2,FALSE)</f>
        <v>0.36299999999999999</v>
      </c>
      <c r="D26">
        <f>VLOOKUP(A26,Sheet1!$G$2:$H$310,2,FALSE)</f>
        <v>0.4</v>
      </c>
      <c r="E26">
        <f>VLOOKUP(A26,Sheet1!$J$2:$K$310,2,FALSE)</f>
        <v>0.4</v>
      </c>
      <c r="F26">
        <f t="shared" si="2"/>
        <v>0.4</v>
      </c>
      <c r="H26">
        <f t="shared" si="3"/>
        <v>1</v>
      </c>
      <c r="I26">
        <f t="shared" si="4"/>
        <v>5</v>
      </c>
      <c r="J26">
        <f t="shared" si="5"/>
        <v>3</v>
      </c>
      <c r="K26">
        <f t="shared" si="6"/>
        <v>3</v>
      </c>
      <c r="L26">
        <f t="shared" si="7"/>
        <v>3</v>
      </c>
      <c r="N26">
        <v>0.46666666666666601</v>
      </c>
      <c r="O26">
        <v>0.4</v>
      </c>
    </row>
    <row r="27" spans="1:15" x14ac:dyDescent="0.35">
      <c r="A27" t="s">
        <v>26</v>
      </c>
      <c r="B27">
        <f t="shared" si="1"/>
        <v>0.92800000000000005</v>
      </c>
      <c r="C27">
        <f>VLOOKUP(A27,Sheet1!D27:E56,2,FALSE)</f>
        <v>0.77500000000000002</v>
      </c>
      <c r="D27">
        <f>VLOOKUP(A27,Sheet1!$G$2:$H$310,2,FALSE)</f>
        <v>0.875</v>
      </c>
      <c r="E27">
        <f>VLOOKUP(A27,Sheet1!$J$2:$K$310,2,FALSE)</f>
        <v>0.94399999999999995</v>
      </c>
      <c r="F27">
        <f t="shared" si="2"/>
        <v>0.92500000000000004</v>
      </c>
      <c r="H27">
        <f t="shared" si="3"/>
        <v>2</v>
      </c>
      <c r="I27">
        <f t="shared" si="4"/>
        <v>5</v>
      </c>
      <c r="J27">
        <f t="shared" si="5"/>
        <v>4</v>
      </c>
      <c r="K27">
        <f t="shared" si="6"/>
        <v>1</v>
      </c>
      <c r="L27">
        <f t="shared" si="7"/>
        <v>3</v>
      </c>
      <c r="N27">
        <v>0.92812499999999998</v>
      </c>
      <c r="O27">
        <v>0.92500000000000004</v>
      </c>
    </row>
    <row r="29" spans="1:15" x14ac:dyDescent="0.35">
      <c r="A29" t="s">
        <v>175</v>
      </c>
      <c r="B29">
        <f>AVERAGE(N2:N27)</f>
        <v>0.74785265989416161</v>
      </c>
      <c r="C29">
        <f t="shared" ref="C29:F29" si="8">AVERAGE(C2:C27)</f>
        <v>0.66742307692307667</v>
      </c>
      <c r="D29">
        <f t="shared" si="8"/>
        <v>0.60732307692307697</v>
      </c>
      <c r="E29">
        <f t="shared" si="8"/>
        <v>0.68992307692307686</v>
      </c>
      <c r="F29">
        <f>AVERAGE(O2:O27)</f>
        <v>0.72604090548687905</v>
      </c>
      <c r="H29">
        <f>AVERAGE(H2:H27)</f>
        <v>1.5769230769230769</v>
      </c>
      <c r="I29">
        <f t="shared" ref="I29:L29" si="9">AVERAGE(I2:I27)</f>
        <v>3.7692307692307692</v>
      </c>
      <c r="J29">
        <f t="shared" si="9"/>
        <v>3.75</v>
      </c>
      <c r="K29">
        <f t="shared" si="9"/>
        <v>3.2115384615384617</v>
      </c>
      <c r="L29">
        <f t="shared" si="9"/>
        <v>2.6923076923076925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 Bagnall</cp:lastModifiedBy>
  <dcterms:created xsi:type="dcterms:W3CDTF">2015-06-05T18:17:20Z</dcterms:created>
  <dcterms:modified xsi:type="dcterms:W3CDTF">2026-04-10T17:27:05Z</dcterms:modified>
</cp:coreProperties>
</file>