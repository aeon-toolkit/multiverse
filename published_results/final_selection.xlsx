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jb2u23_soton_ac_uk/Documents/Research/Papers/2026/Tony MTSC ACM Surveys/Results/"/>
    </mc:Choice>
  </mc:AlternateContent>
  <xr:revisionPtr revIDLastSave="242" documentId="11_F25DC773A252ABDACC1048CE49DD57065ADE58E7" xr6:coauthVersionLast="47" xr6:coauthVersionMax="47" xr10:uidLastSave="{A57B764B-5510-4F8C-82F2-95C2D8B0994F}"/>
  <bookViews>
    <workbookView xWindow="14370" yWindow="2930" windowWidth="25420" windowHeight="16040" activeTab="6" xr2:uid="{00000000-000D-0000-FFFF-FFFF00000000}"/>
  </bookViews>
  <sheets>
    <sheet name="ML" sheetId="1" r:id="rId1"/>
    <sheet name="Conv" sheetId="2" r:id="rId2"/>
    <sheet name="Trans" sheetId="3" r:id="rId3"/>
    <sheet name="Found" sheetId="5" r:id="rId4"/>
    <sheet name="Other" sheetId="4" r:id="rId5"/>
    <sheet name="Combined30" sheetId="6" r:id="rId6"/>
    <sheet name="Combined2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7" l="1"/>
  <c r="J28" i="7"/>
  <c r="L28" i="7"/>
  <c r="L27" i="7"/>
  <c r="T28" i="7"/>
  <c r="T27" i="7"/>
  <c r="S27" i="7"/>
  <c r="R27" i="7"/>
  <c r="Q27" i="7"/>
  <c r="P27" i="7"/>
  <c r="O27" i="7"/>
  <c r="N27" i="7"/>
  <c r="M27" i="7"/>
  <c r="T26" i="7"/>
  <c r="S26" i="7"/>
  <c r="R26" i="7"/>
  <c r="Q26" i="7"/>
  <c r="P26" i="7"/>
  <c r="O26" i="7"/>
  <c r="N26" i="7"/>
  <c r="M26" i="7"/>
  <c r="L26" i="7"/>
  <c r="T25" i="7"/>
  <c r="S25" i="7"/>
  <c r="R25" i="7"/>
  <c r="Q25" i="7"/>
  <c r="P25" i="7"/>
  <c r="O25" i="7"/>
  <c r="N25" i="7"/>
  <c r="M25" i="7"/>
  <c r="L25" i="7"/>
  <c r="T24" i="7"/>
  <c r="S24" i="7"/>
  <c r="R24" i="7"/>
  <c r="Q24" i="7"/>
  <c r="P24" i="7"/>
  <c r="O24" i="7"/>
  <c r="N24" i="7"/>
  <c r="M24" i="7"/>
  <c r="L24" i="7"/>
  <c r="T23" i="7"/>
  <c r="S23" i="7"/>
  <c r="R23" i="7"/>
  <c r="Q23" i="7"/>
  <c r="P23" i="7"/>
  <c r="O23" i="7"/>
  <c r="N23" i="7"/>
  <c r="M23" i="7"/>
  <c r="L23" i="7"/>
  <c r="T22" i="7"/>
  <c r="S22" i="7"/>
  <c r="R22" i="7"/>
  <c r="Q22" i="7"/>
  <c r="P22" i="7"/>
  <c r="O22" i="7"/>
  <c r="N22" i="7"/>
  <c r="M22" i="7"/>
  <c r="L22" i="7"/>
  <c r="T21" i="7"/>
  <c r="S21" i="7"/>
  <c r="R21" i="7"/>
  <c r="Q21" i="7"/>
  <c r="P21" i="7"/>
  <c r="O21" i="7"/>
  <c r="N21" i="7"/>
  <c r="M21" i="7"/>
  <c r="L21" i="7"/>
  <c r="T20" i="7"/>
  <c r="S20" i="7"/>
  <c r="R20" i="7"/>
  <c r="Q20" i="7"/>
  <c r="P20" i="7"/>
  <c r="O20" i="7"/>
  <c r="N20" i="7"/>
  <c r="M20" i="7"/>
  <c r="L20" i="7"/>
  <c r="T19" i="7"/>
  <c r="S19" i="7"/>
  <c r="R19" i="7"/>
  <c r="Q19" i="7"/>
  <c r="P19" i="7"/>
  <c r="O19" i="7"/>
  <c r="N19" i="7"/>
  <c r="M19" i="7"/>
  <c r="L19" i="7"/>
  <c r="T18" i="7"/>
  <c r="S18" i="7"/>
  <c r="R18" i="7"/>
  <c r="Q18" i="7"/>
  <c r="P18" i="7"/>
  <c r="O18" i="7"/>
  <c r="N18" i="7"/>
  <c r="M18" i="7"/>
  <c r="L18" i="7"/>
  <c r="T17" i="7"/>
  <c r="S17" i="7"/>
  <c r="R17" i="7"/>
  <c r="Q17" i="7"/>
  <c r="P17" i="7"/>
  <c r="O17" i="7"/>
  <c r="N17" i="7"/>
  <c r="M17" i="7"/>
  <c r="L17" i="7"/>
  <c r="T16" i="7"/>
  <c r="S16" i="7"/>
  <c r="R16" i="7"/>
  <c r="Q16" i="7"/>
  <c r="P16" i="7"/>
  <c r="O16" i="7"/>
  <c r="N16" i="7"/>
  <c r="M16" i="7"/>
  <c r="L16" i="7"/>
  <c r="T15" i="7"/>
  <c r="S15" i="7"/>
  <c r="R15" i="7"/>
  <c r="Q15" i="7"/>
  <c r="P15" i="7"/>
  <c r="O15" i="7"/>
  <c r="N15" i="7"/>
  <c r="M15" i="7"/>
  <c r="L15" i="7"/>
  <c r="T14" i="7"/>
  <c r="S14" i="7"/>
  <c r="R14" i="7"/>
  <c r="Q14" i="7"/>
  <c r="P14" i="7"/>
  <c r="O14" i="7"/>
  <c r="N14" i="7"/>
  <c r="M14" i="7"/>
  <c r="L14" i="7"/>
  <c r="T13" i="7"/>
  <c r="S13" i="7"/>
  <c r="R13" i="7"/>
  <c r="Q13" i="7"/>
  <c r="P13" i="7"/>
  <c r="O13" i="7"/>
  <c r="N13" i="7"/>
  <c r="M13" i="7"/>
  <c r="L13" i="7"/>
  <c r="T12" i="7"/>
  <c r="S12" i="7"/>
  <c r="R12" i="7"/>
  <c r="Q12" i="7"/>
  <c r="P12" i="7"/>
  <c r="O12" i="7"/>
  <c r="N12" i="7"/>
  <c r="M12" i="7"/>
  <c r="L12" i="7"/>
  <c r="T11" i="7"/>
  <c r="S11" i="7"/>
  <c r="R11" i="7"/>
  <c r="Q11" i="7"/>
  <c r="P11" i="7"/>
  <c r="O11" i="7"/>
  <c r="N11" i="7"/>
  <c r="M11" i="7"/>
  <c r="L11" i="7"/>
  <c r="T10" i="7"/>
  <c r="S10" i="7"/>
  <c r="R10" i="7"/>
  <c r="Q10" i="7"/>
  <c r="P10" i="7"/>
  <c r="O10" i="7"/>
  <c r="N10" i="7"/>
  <c r="M10" i="7"/>
  <c r="L10" i="7"/>
  <c r="T9" i="7"/>
  <c r="S9" i="7"/>
  <c r="R9" i="7"/>
  <c r="Q9" i="7"/>
  <c r="P9" i="7"/>
  <c r="O9" i="7"/>
  <c r="N9" i="7"/>
  <c r="M9" i="7"/>
  <c r="L9" i="7"/>
  <c r="T8" i="7"/>
  <c r="S8" i="7"/>
  <c r="R8" i="7"/>
  <c r="Q8" i="7"/>
  <c r="P8" i="7"/>
  <c r="O8" i="7"/>
  <c r="N8" i="7"/>
  <c r="M8" i="7"/>
  <c r="L8" i="7"/>
  <c r="T7" i="7"/>
  <c r="S7" i="7"/>
  <c r="R7" i="7"/>
  <c r="Q7" i="7"/>
  <c r="P7" i="7"/>
  <c r="O7" i="7"/>
  <c r="N7" i="7"/>
  <c r="M7" i="7"/>
  <c r="L7" i="7"/>
  <c r="T6" i="7"/>
  <c r="S6" i="7"/>
  <c r="R6" i="7"/>
  <c r="Q6" i="7"/>
  <c r="P6" i="7"/>
  <c r="O6" i="7"/>
  <c r="N6" i="7"/>
  <c r="M6" i="7"/>
  <c r="L6" i="7"/>
  <c r="T5" i="7"/>
  <c r="S5" i="7"/>
  <c r="R5" i="7"/>
  <c r="Q5" i="7"/>
  <c r="P5" i="7"/>
  <c r="O5" i="7"/>
  <c r="N5" i="7"/>
  <c r="M5" i="7"/>
  <c r="L5" i="7"/>
  <c r="T4" i="7"/>
  <c r="S4" i="7"/>
  <c r="R4" i="7"/>
  <c r="Q4" i="7"/>
  <c r="P4" i="7"/>
  <c r="O4" i="7"/>
  <c r="N4" i="7"/>
  <c r="M4" i="7"/>
  <c r="L4" i="7"/>
  <c r="T3" i="7"/>
  <c r="S3" i="7"/>
  <c r="R3" i="7"/>
  <c r="Q3" i="7"/>
  <c r="P3" i="7"/>
  <c r="O3" i="7"/>
  <c r="N3" i="7"/>
  <c r="M3" i="7"/>
  <c r="L3" i="7"/>
  <c r="T1" i="7"/>
  <c r="T2" i="7"/>
  <c r="L2" i="7"/>
  <c r="M2" i="7"/>
  <c r="N2" i="7"/>
  <c r="O2" i="7"/>
  <c r="P2" i="7"/>
  <c r="Q2" i="7"/>
  <c r="R2" i="7"/>
  <c r="S2" i="7"/>
  <c r="C28" i="7"/>
  <c r="D28" i="7"/>
  <c r="E28" i="7"/>
  <c r="F28" i="7"/>
  <c r="G28" i="7"/>
  <c r="H28" i="7"/>
  <c r="I28" i="7"/>
  <c r="B28" i="7"/>
  <c r="S1" i="7"/>
  <c r="M1" i="7"/>
  <c r="N1" i="7"/>
  <c r="O1" i="7"/>
  <c r="P1" i="7"/>
  <c r="Q1" i="7"/>
  <c r="R1" i="7"/>
  <c r="L1" i="7"/>
  <c r="B29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" i="4"/>
  <c r="C29" i="3"/>
  <c r="B29" i="3"/>
  <c r="B27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C27" i="3"/>
  <c r="C2" i="3"/>
  <c r="B2" i="3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C2" i="5"/>
  <c r="B2" i="5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D2" i="2"/>
  <c r="C2" i="2"/>
  <c r="B2" i="2"/>
  <c r="B2" i="1"/>
  <c r="C2" i="1"/>
  <c r="D2" i="1"/>
  <c r="L2" i="1" s="1"/>
  <c r="E2" i="1"/>
  <c r="K2" i="1" s="1"/>
  <c r="F2" i="1"/>
  <c r="H2" i="1"/>
  <c r="I2" i="1"/>
  <c r="B3" i="1"/>
  <c r="J3" i="1" s="1"/>
  <c r="C3" i="1"/>
  <c r="I3" i="1" s="1"/>
  <c r="D3" i="1"/>
  <c r="E3" i="1"/>
  <c r="K3" i="1" s="1"/>
  <c r="F3" i="1"/>
  <c r="L3" i="1" s="1"/>
  <c r="B4" i="1"/>
  <c r="C4" i="1"/>
  <c r="H4" i="1" s="1"/>
  <c r="D4" i="1"/>
  <c r="J4" i="1" s="1"/>
  <c r="E4" i="1"/>
  <c r="F4" i="1"/>
  <c r="B5" i="1"/>
  <c r="H5" i="1" s="1"/>
  <c r="C5" i="1"/>
  <c r="D5" i="1"/>
  <c r="E5" i="1"/>
  <c r="F5" i="1"/>
  <c r="L5" i="1" s="1"/>
  <c r="B6" i="1"/>
  <c r="C6" i="1"/>
  <c r="D6" i="1"/>
  <c r="L6" i="1" s="1"/>
  <c r="E6" i="1"/>
  <c r="K6" i="1" s="1"/>
  <c r="F6" i="1"/>
  <c r="H6" i="1"/>
  <c r="I6" i="1"/>
  <c r="B7" i="1"/>
  <c r="J7" i="1" s="1"/>
  <c r="C7" i="1"/>
  <c r="I7" i="1" s="1"/>
  <c r="D7" i="1"/>
  <c r="E7" i="1"/>
  <c r="K7" i="1" s="1"/>
  <c r="F7" i="1"/>
  <c r="L7" i="1" s="1"/>
  <c r="B8" i="1"/>
  <c r="C8" i="1"/>
  <c r="H8" i="1" s="1"/>
  <c r="D8" i="1"/>
  <c r="J8" i="1" s="1"/>
  <c r="E8" i="1"/>
  <c r="F8" i="1"/>
  <c r="B9" i="1"/>
  <c r="J9" i="1" s="1"/>
  <c r="C9" i="1"/>
  <c r="D9" i="1"/>
  <c r="E9" i="1"/>
  <c r="F9" i="1"/>
  <c r="L9" i="1" s="1"/>
  <c r="K9" i="1"/>
  <c r="B10" i="1"/>
  <c r="L10" i="1" s="1"/>
  <c r="C10" i="1"/>
  <c r="D10" i="1"/>
  <c r="J10" i="1" s="1"/>
  <c r="E10" i="1"/>
  <c r="F10" i="1"/>
  <c r="H10" i="1"/>
  <c r="I10" i="1"/>
  <c r="K10" i="1"/>
  <c r="B11" i="1"/>
  <c r="J11" i="1" s="1"/>
  <c r="C11" i="1"/>
  <c r="D11" i="1"/>
  <c r="E11" i="1"/>
  <c r="K11" i="1" s="1"/>
  <c r="F11" i="1"/>
  <c r="L11" i="1" s="1"/>
  <c r="B12" i="1"/>
  <c r="C12" i="1"/>
  <c r="H12" i="1" s="1"/>
  <c r="D12" i="1"/>
  <c r="J12" i="1" s="1"/>
  <c r="E12" i="1"/>
  <c r="K12" i="1" s="1"/>
  <c r="F12" i="1"/>
  <c r="B13" i="1"/>
  <c r="J13" i="1" s="1"/>
  <c r="C13" i="1"/>
  <c r="I13" i="1" s="1"/>
  <c r="D13" i="1"/>
  <c r="E13" i="1"/>
  <c r="F13" i="1"/>
  <c r="L13" i="1" s="1"/>
  <c r="B14" i="1"/>
  <c r="L14" i="1" s="1"/>
  <c r="C14" i="1"/>
  <c r="D14" i="1"/>
  <c r="J14" i="1" s="1"/>
  <c r="E14" i="1"/>
  <c r="F14" i="1"/>
  <c r="H14" i="1"/>
  <c r="I14" i="1"/>
  <c r="K14" i="1"/>
  <c r="B15" i="1"/>
  <c r="J15" i="1" s="1"/>
  <c r="C15" i="1"/>
  <c r="D15" i="1"/>
  <c r="E15" i="1"/>
  <c r="K15" i="1" s="1"/>
  <c r="F15" i="1"/>
  <c r="L15" i="1" s="1"/>
  <c r="B16" i="1"/>
  <c r="C16" i="1"/>
  <c r="H16" i="1" s="1"/>
  <c r="D16" i="1"/>
  <c r="J16" i="1" s="1"/>
  <c r="E16" i="1"/>
  <c r="K16" i="1" s="1"/>
  <c r="F16" i="1"/>
  <c r="B17" i="1"/>
  <c r="J17" i="1" s="1"/>
  <c r="C17" i="1"/>
  <c r="I17" i="1" s="1"/>
  <c r="D17" i="1"/>
  <c r="E17" i="1"/>
  <c r="F17" i="1"/>
  <c r="L17" i="1" s="1"/>
  <c r="K17" i="1"/>
  <c r="B18" i="1"/>
  <c r="L18" i="1" s="1"/>
  <c r="C18" i="1"/>
  <c r="D18" i="1"/>
  <c r="J18" i="1" s="1"/>
  <c r="E18" i="1"/>
  <c r="F18" i="1"/>
  <c r="H18" i="1"/>
  <c r="I18" i="1"/>
  <c r="K18" i="1"/>
  <c r="B19" i="1"/>
  <c r="J19" i="1" s="1"/>
  <c r="C19" i="1"/>
  <c r="D19" i="1"/>
  <c r="E19" i="1"/>
  <c r="I19" i="1" s="1"/>
  <c r="F19" i="1"/>
  <c r="L19" i="1" s="1"/>
  <c r="B20" i="1"/>
  <c r="C20" i="1"/>
  <c r="H20" i="1" s="1"/>
  <c r="D20" i="1"/>
  <c r="J20" i="1" s="1"/>
  <c r="E20" i="1"/>
  <c r="K20" i="1" s="1"/>
  <c r="F20" i="1"/>
  <c r="B21" i="1"/>
  <c r="H21" i="1" s="1"/>
  <c r="C21" i="1"/>
  <c r="I21" i="1" s="1"/>
  <c r="D21" i="1"/>
  <c r="E21" i="1"/>
  <c r="F21" i="1"/>
  <c r="L21" i="1" s="1"/>
  <c r="B22" i="1"/>
  <c r="L22" i="1" s="1"/>
  <c r="C22" i="1"/>
  <c r="D22" i="1"/>
  <c r="J22" i="1" s="1"/>
  <c r="E22" i="1"/>
  <c r="F22" i="1"/>
  <c r="H22" i="1"/>
  <c r="I22" i="1"/>
  <c r="K22" i="1"/>
  <c r="B23" i="1"/>
  <c r="J23" i="1" s="1"/>
  <c r="C23" i="1"/>
  <c r="D23" i="1"/>
  <c r="E23" i="1"/>
  <c r="K23" i="1" s="1"/>
  <c r="F23" i="1"/>
  <c r="L23" i="1" s="1"/>
  <c r="B24" i="1"/>
  <c r="C24" i="1"/>
  <c r="C29" i="1" s="1"/>
  <c r="D24" i="1"/>
  <c r="J24" i="1" s="1"/>
  <c r="E24" i="1"/>
  <c r="K24" i="1" s="1"/>
  <c r="F24" i="1"/>
  <c r="B25" i="1"/>
  <c r="H25" i="1" s="1"/>
  <c r="C25" i="1"/>
  <c r="I25" i="1" s="1"/>
  <c r="D25" i="1"/>
  <c r="E25" i="1"/>
  <c r="F25" i="1"/>
  <c r="B26" i="1"/>
  <c r="L26" i="1" s="1"/>
  <c r="C26" i="1"/>
  <c r="D26" i="1"/>
  <c r="E26" i="1"/>
  <c r="F26" i="1"/>
  <c r="H26" i="1"/>
  <c r="I26" i="1"/>
  <c r="K26" i="1"/>
  <c r="B27" i="1"/>
  <c r="C27" i="1"/>
  <c r="J27" i="1" s="1"/>
  <c r="D27" i="1"/>
  <c r="E27" i="1"/>
  <c r="I27" i="1" s="1"/>
  <c r="F27" i="1"/>
  <c r="L27" i="1" s="1"/>
  <c r="B29" i="1"/>
  <c r="F29" i="1"/>
  <c r="N61" i="1"/>
  <c r="B61" i="1"/>
  <c r="B29" i="7" l="1"/>
  <c r="M28" i="7"/>
  <c r="C29" i="7" s="1"/>
  <c r="P28" i="7"/>
  <c r="F29" i="7" s="1"/>
  <c r="N28" i="7"/>
  <c r="D29" i="7" s="1"/>
  <c r="S28" i="7"/>
  <c r="I29" i="7" s="1"/>
  <c r="O28" i="7"/>
  <c r="E29" i="7" s="1"/>
  <c r="R28" i="7"/>
  <c r="H29" i="7" s="1"/>
  <c r="Q28" i="7"/>
  <c r="G29" i="7" s="1"/>
  <c r="B29" i="5"/>
  <c r="C29" i="5"/>
  <c r="C29" i="2"/>
  <c r="D29" i="2"/>
  <c r="B29" i="2"/>
  <c r="K5" i="1"/>
  <c r="J25" i="1"/>
  <c r="I23" i="1"/>
  <c r="I15" i="1"/>
  <c r="I11" i="1"/>
  <c r="E29" i="1"/>
  <c r="H27" i="1"/>
  <c r="J26" i="1"/>
  <c r="L25" i="1"/>
  <c r="H23" i="1"/>
  <c r="H19" i="1"/>
  <c r="H15" i="1"/>
  <c r="H11" i="1"/>
  <c r="H7" i="1"/>
  <c r="J6" i="1"/>
  <c r="H3" i="1"/>
  <c r="H29" i="1" s="1"/>
  <c r="J2" i="1"/>
  <c r="L8" i="1"/>
  <c r="L4" i="1"/>
  <c r="L29" i="1" s="1"/>
  <c r="I9" i="1"/>
  <c r="K8" i="1"/>
  <c r="I5" i="1"/>
  <c r="K4" i="1"/>
  <c r="K29" i="1" s="1"/>
  <c r="K21" i="1"/>
  <c r="K13" i="1"/>
  <c r="J21" i="1"/>
  <c r="L20" i="1"/>
  <c r="L16" i="1"/>
  <c r="J5" i="1"/>
  <c r="H17" i="1"/>
  <c r="H13" i="1"/>
  <c r="H9" i="1"/>
  <c r="D29" i="1"/>
  <c r="K25" i="1"/>
  <c r="K27" i="1"/>
  <c r="I24" i="1"/>
  <c r="I20" i="1"/>
  <c r="K19" i="1"/>
  <c r="I16" i="1"/>
  <c r="I12" i="1"/>
  <c r="I8" i="1"/>
  <c r="I4" i="1"/>
  <c r="I29" i="1" s="1"/>
  <c r="L24" i="1"/>
  <c r="L12" i="1"/>
  <c r="H24" i="1"/>
  <c r="J29" i="1" l="1"/>
</calcChain>
</file>

<file path=xl/sharedStrings.xml><?xml version="1.0" encoding="utf-8"?>
<sst xmlns="http://schemas.openxmlformats.org/spreadsheetml/2006/main" count="603" uniqueCount="193">
  <si>
    <t>Resamples:</t>
  </si>
  <si>
    <t>ArticularyWordRecognition</t>
  </si>
  <si>
    <t>AtrialFibrillation</t>
  </si>
  <si>
    <t>BasicMotions</t>
  </si>
  <si>
    <t>Cricket</t>
  </si>
  <si>
    <t>DuckDuckGeese</t>
  </si>
  <si>
    <t>ERing</t>
  </si>
  <si>
    <t>EigenWorms</t>
  </si>
  <si>
    <t>Epilepsy</t>
  </si>
  <si>
    <t>EthanolConcentration</t>
  </si>
  <si>
    <t>FaceDetection</t>
  </si>
  <si>
    <t>FingerMovements</t>
  </si>
  <si>
    <t>HandMovementDirection</t>
  </si>
  <si>
    <t>Handwriting</t>
  </si>
  <si>
    <t>Heartbeat</t>
  </si>
  <si>
    <t>LSST</t>
  </si>
  <si>
    <t>Libras</t>
  </si>
  <si>
    <t>MotorImagery</t>
  </si>
  <si>
    <t>NATOPS</t>
  </si>
  <si>
    <t>PEMS-SF</t>
  </si>
  <si>
    <t>PenDigits</t>
  </si>
  <si>
    <t>PhonemeSpectra</t>
  </si>
  <si>
    <t>RacketSports</t>
  </si>
  <si>
    <t>SelfRegulationSCP1</t>
  </si>
  <si>
    <t>SelfRegulationSCP2</t>
  </si>
  <si>
    <t>StandWalkJump</t>
  </si>
  <si>
    <t>UWaveGestureLibrary</t>
  </si>
  <si>
    <t>HC2</t>
  </si>
  <si>
    <t>CMFM_RF</t>
  </si>
  <si>
    <t>CharacterTrajectories</t>
  </si>
  <si>
    <t>InsectWingbeat</t>
  </si>
  <si>
    <t>JapaneseVowels</t>
  </si>
  <si>
    <t>SpokenArabicDigits</t>
  </si>
  <si>
    <t>RT_100</t>
  </si>
  <si>
    <t>Bahri2022RT</t>
  </si>
  <si>
    <t>Baldan2021CMFMTS</t>
  </si>
  <si>
    <t>Middlehurst21hc2</t>
  </si>
  <si>
    <t>BORF</t>
  </si>
  <si>
    <t>ACSF1</t>
  </si>
  <si>
    <t>Adiac</t>
  </si>
  <si>
    <t>AGW-X</t>
  </si>
  <si>
    <t>AGW-Y</t>
  </si>
  <si>
    <t>AGW-Z</t>
  </si>
  <si>
    <t>ArrowHead</t>
  </si>
  <si>
    <t>BME</t>
  </si>
  <si>
    <t>Beef</t>
  </si>
  <si>
    <t>BeetleFly</t>
  </si>
  <si>
    <t>BirdChick</t>
  </si>
  <si>
    <t>CBF</t>
  </si>
  <si>
    <t>Car</t>
  </si>
  <si>
    <t>CharTraj</t>
  </si>
  <si>
    <t>Chinatown</t>
  </si>
  <si>
    <t>ChiConc</t>
  </si>
  <si>
    <t>CinCECGTorso</t>
  </si>
  <si>
    <t>Coffee</t>
  </si>
  <si>
    <t>Computers</t>
  </si>
  <si>
    <t>CricketX</t>
  </si>
  <si>
    <t>CricketY</t>
  </si>
  <si>
    <t>CricketZ</t>
  </si>
  <si>
    <t>Crop</t>
  </si>
  <si>
    <t>DiatomSR</t>
  </si>
  <si>
    <t>DP-OAG</t>
  </si>
  <si>
    <t>DP-OC</t>
  </si>
  <si>
    <t>DP-TW</t>
  </si>
  <si>
    <t>DodgerLoopDay</t>
  </si>
  <si>
    <t>DodgerLoopGame</t>
  </si>
  <si>
    <t>DLWeekend</t>
  </si>
  <si>
    <t>ECG200</t>
  </si>
  <si>
    <t>ECGS5000</t>
  </si>
  <si>
    <t>ECG5D</t>
  </si>
  <si>
    <t>EOGHorizontalSignal</t>
  </si>
  <si>
    <t>EOGVerticalSignal</t>
  </si>
  <si>
    <t>Earthquakes</t>
  </si>
  <si>
    <t>ElecDev</t>
  </si>
  <si>
    <t>EthanolLvl</t>
  </si>
  <si>
    <t>FaceAll</t>
  </si>
  <si>
    <t>FaceFour</t>
  </si>
  <si>
    <t>FacesUCR</t>
  </si>
  <si>
    <t>FiftyWords</t>
  </si>
  <si>
    <t>Fish</t>
  </si>
  <si>
    <t>FordA</t>
  </si>
  <si>
    <t>FordB</t>
  </si>
  <si>
    <t>FRTrain</t>
  </si>
  <si>
    <t>FSTrain</t>
  </si>
  <si>
    <t>Fungi</t>
  </si>
  <si>
    <t>GMD1</t>
  </si>
  <si>
    <t>GMD2</t>
  </si>
  <si>
    <t>GMD3</t>
  </si>
  <si>
    <t>GPZ1</t>
  </si>
  <si>
    <t>GPZ2</t>
  </si>
  <si>
    <t>GunPoint</t>
  </si>
  <si>
    <t>GP-AS</t>
  </si>
  <si>
    <t>GP-MVF</t>
  </si>
  <si>
    <t>GP-OY</t>
  </si>
  <si>
    <t>Ham</t>
  </si>
  <si>
    <t>HandOutlines</t>
  </si>
  <si>
    <t>Haptics</t>
  </si>
  <si>
    <t>Herring</t>
  </si>
  <si>
    <t>Hse20</t>
  </si>
  <si>
    <t>InlSkate</t>
  </si>
  <si>
    <t>IEPG-RT</t>
  </si>
  <si>
    <t>IEPG-ST</t>
  </si>
  <si>
    <t>IWingImp</t>
  </si>
  <si>
    <t>IWingSound</t>
  </si>
  <si>
    <t>ItalyPowerDemand</t>
  </si>
  <si>
    <t>JapVow</t>
  </si>
  <si>
    <t>LrgKitchAppl</t>
  </si>
  <si>
    <t>Lightning2</t>
  </si>
  <si>
    <t>Lightning7</t>
  </si>
  <si>
    <t>Mallat</t>
  </si>
  <si>
    <t>Meat</t>
  </si>
  <si>
    <t>MedicalImages</t>
  </si>
  <si>
    <t>MelbournePedestrian</t>
  </si>
  <si>
    <t>MP-OAG</t>
  </si>
  <si>
    <t>MP-OC</t>
  </si>
  <si>
    <t>MP-TW</t>
  </si>
  <si>
    <t>MxShpRT</t>
  </si>
  <si>
    <t>MxShpST</t>
  </si>
  <si>
    <t>MoteStrain</t>
  </si>
  <si>
    <t>NonInvasiveFetalECGThorax1</t>
  </si>
  <si>
    <t>NonInvasiveFetalECGThorax2</t>
  </si>
  <si>
    <t>OSULeaf</t>
  </si>
  <si>
    <t>OliveOil</t>
  </si>
  <si>
    <t>PLAID</t>
  </si>
  <si>
    <t>POC</t>
  </si>
  <si>
    <t>Phoneme</t>
  </si>
  <si>
    <t>PGWZ</t>
  </si>
  <si>
    <t>PAP</t>
  </si>
  <si>
    <t>PAPress</t>
  </si>
  <si>
    <t>PCVP</t>
  </si>
  <si>
    <t>Plane</t>
  </si>
  <si>
    <t>PwrCons</t>
  </si>
  <si>
    <t>PP-OAG</t>
  </si>
  <si>
    <t>PP-OC</t>
  </si>
  <si>
    <t>PP-TW</t>
  </si>
  <si>
    <t>RefDev</t>
  </si>
  <si>
    <t>Rock</t>
  </si>
  <si>
    <t>ScreenType</t>
  </si>
  <si>
    <t>SHG-Ch2</t>
  </si>
  <si>
    <t>SemgHandMovementCh2</t>
  </si>
  <si>
    <t>SemgHandSubjectCh2</t>
  </si>
  <si>
    <t>SWGZ</t>
  </si>
  <si>
    <t>ShapeSim</t>
  </si>
  <si>
    <t>ShapesAll</t>
  </si>
  <si>
    <t>SmKitchAppl</t>
  </si>
  <si>
    <t>SmthSubsp</t>
  </si>
  <si>
    <t>SonySurf1</t>
  </si>
  <si>
    <t>SonySurf2</t>
  </si>
  <si>
    <t>SpArabDig</t>
  </si>
  <si>
    <t>StarLightCurves</t>
  </si>
  <si>
    <t>Strawberry</t>
  </si>
  <si>
    <t>SwedishLeaf</t>
  </si>
  <si>
    <t>Symbols</t>
  </si>
  <si>
    <t>SyntheticControl</t>
  </si>
  <si>
    <t>ToeSegmentation1</t>
  </si>
  <si>
    <t>ToeSegmentation2</t>
  </si>
  <si>
    <t>Trace</t>
  </si>
  <si>
    <t>2LeadECG</t>
  </si>
  <si>
    <t>TwoPatt</t>
  </si>
  <si>
    <t>UMD</t>
  </si>
  <si>
    <t>UWGL-AIl</t>
  </si>
  <si>
    <t>UWGL-X</t>
  </si>
  <si>
    <t>UWGL-Y</t>
  </si>
  <si>
    <t>UWGL-Z</t>
  </si>
  <si>
    <t>Wafer</t>
  </si>
  <si>
    <t>Wine</t>
  </si>
  <si>
    <t>WordSynonyms</t>
  </si>
  <si>
    <t>Worms</t>
  </si>
  <si>
    <t>WormsTwoClass</t>
  </si>
  <si>
    <t>Yoga</t>
  </si>
  <si>
    <t>Spinnato2024BORF</t>
  </si>
  <si>
    <t>DTW-D</t>
  </si>
  <si>
    <t>CMFM</t>
  </si>
  <si>
    <t>RT</t>
  </si>
  <si>
    <t>CIF</t>
  </si>
  <si>
    <t>Average accuracy</t>
  </si>
  <si>
    <t>Dataset</t>
  </si>
  <si>
    <t>TimesURL</t>
  </si>
  <si>
    <t>TS2Vec</t>
  </si>
  <si>
    <t>Avg. ACC</t>
  </si>
  <si>
    <t>Avg. Rank</t>
  </si>
  <si>
    <t>Disjoint-CNN</t>
  </si>
  <si>
    <t>XCM</t>
  </si>
  <si>
    <t>TPS (IT+TPS+PE)</t>
  </si>
  <si>
    <t>FreConvNet</t>
  </si>
  <si>
    <t>HDTCNet</t>
  </si>
  <si>
    <t>LITEMVTime</t>
  </si>
  <si>
    <t>ConvTran</t>
  </si>
  <si>
    <t>PatchMTSC</t>
  </si>
  <si>
    <t>RankSCL</t>
  </si>
  <si>
    <t>AverAGE</t>
  </si>
  <si>
    <t>Average</t>
  </si>
  <si>
    <t>Mean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</si>
</sst>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1"/>
  <sheetViews>
    <sheetView topLeftCell="A16" workbookViewId="0">
      <selection sqref="A1:B27"/>
    </sheetView>
  </sheetViews>
  <sheetFormatPr defaultRowHeight="14.5" x14ac:dyDescent="0.35"/>
  <cols>
    <col min="1" max="1" width="23.54296875" bestFit="1" customWidth="1"/>
    <col min="7" max="7" width="23.54296875" bestFit="1" customWidth="1"/>
    <col min="10" max="10" width="25.54296875" bestFit="1" customWidth="1"/>
  </cols>
  <sheetData>
    <row r="1" spans="1:15" x14ac:dyDescent="0.35">
      <c r="B1" t="s">
        <v>27</v>
      </c>
      <c r="C1" t="s">
        <v>172</v>
      </c>
      <c r="D1" t="s">
        <v>173</v>
      </c>
      <c r="E1" t="s">
        <v>37</v>
      </c>
      <c r="F1" t="s">
        <v>174</v>
      </c>
      <c r="H1" t="s">
        <v>27</v>
      </c>
      <c r="I1" t="s">
        <v>172</v>
      </c>
      <c r="J1" t="s">
        <v>173</v>
      </c>
      <c r="K1" t="s">
        <v>37</v>
      </c>
      <c r="L1" t="s">
        <v>174</v>
      </c>
      <c r="N1" t="s">
        <v>27</v>
      </c>
      <c r="O1" t="s">
        <v>174</v>
      </c>
    </row>
    <row r="2" spans="1:15" x14ac:dyDescent="0.35">
      <c r="A2" t="s">
        <v>1</v>
      </c>
      <c r="B2">
        <f>ROUND(N2,3)</f>
        <v>0.99299999999999999</v>
      </c>
      <c r="C2">
        <f>VLOOKUP(A2,ML!D34:E342,2,FALSE)</f>
        <v>0.98799999999999999</v>
      </c>
      <c r="D2">
        <f>ROUND(VLOOKUP(A2,ML!$G$34:$H$342,2,FALSE),3)</f>
        <v>0.99299999999999999</v>
      </c>
      <c r="E2">
        <f>VLOOKUP(A2,ML!$J$34:$K$342,2,FALSE)</f>
        <v>0.99299999999999999</v>
      </c>
      <c r="F2">
        <f>ROUND(O2,3)</f>
        <v>0.98299999999999998</v>
      </c>
      <c r="H2">
        <f>_xlfn.RANK.AVG(B2,$B2:$F2)</f>
        <v>2</v>
      </c>
      <c r="I2">
        <f>_xlfn.RANK.AVG(C2,$B2:$F2)</f>
        <v>4</v>
      </c>
      <c r="J2">
        <f>_xlfn.RANK.AVG(D2,$B2:$F2)</f>
        <v>2</v>
      </c>
      <c r="K2">
        <f>_xlfn.RANK.AVG(E2,$B2:$F2)</f>
        <v>2</v>
      </c>
      <c r="L2">
        <f>_xlfn.RANK.AVG(F2,$B2:$F2)</f>
        <v>5</v>
      </c>
      <c r="N2">
        <v>0.99333333333333296</v>
      </c>
      <c r="O2">
        <v>0.98333333333333295</v>
      </c>
    </row>
    <row r="3" spans="1:15" x14ac:dyDescent="0.35">
      <c r="A3" t="s">
        <v>2</v>
      </c>
      <c r="B3">
        <f>ROUND(N3,3)</f>
        <v>0.26700000000000002</v>
      </c>
      <c r="C3">
        <f>VLOOKUP(A3,ML!D35:E64,2,FALSE)</f>
        <v>0.191</v>
      </c>
      <c r="D3">
        <f>VLOOKUP(A3,ML!$G$34:$H$342,2,FALSE)</f>
        <v>0.2</v>
      </c>
      <c r="E3">
        <f>VLOOKUP(A3,ML!$J$34:$K$342,2,FALSE)</f>
        <v>0.26700000000000002</v>
      </c>
      <c r="F3">
        <f>ROUND(O3,3)</f>
        <v>0.33300000000000002</v>
      </c>
      <c r="H3">
        <f>_xlfn.RANK.AVG(B3,$B3:$F3)</f>
        <v>2.5</v>
      </c>
      <c r="I3">
        <f>_xlfn.RANK.AVG(C3,$B3:$F3)</f>
        <v>5</v>
      </c>
      <c r="J3">
        <f>_xlfn.RANK.AVG(D3,$B3:$F3)</f>
        <v>4</v>
      </c>
      <c r="K3">
        <f>_xlfn.RANK.AVG(E3,$B3:$F3)</f>
        <v>2.5</v>
      </c>
      <c r="L3">
        <f>_xlfn.RANK.AVG(F3,$B3:$F3)</f>
        <v>1</v>
      </c>
      <c r="N3">
        <v>0.266666666666666</v>
      </c>
      <c r="O3">
        <v>0.33333333333333298</v>
      </c>
    </row>
    <row r="4" spans="1:15" x14ac:dyDescent="0.35">
      <c r="A4" t="s">
        <v>3</v>
      </c>
      <c r="B4">
        <f>ROUND(N4,3)</f>
        <v>1</v>
      </c>
      <c r="C4">
        <f>VLOOKUP(A4,ML!D36:E65,2,FALSE)</f>
        <v>0.98199999999999998</v>
      </c>
      <c r="D4">
        <f>VLOOKUP(A4,ML!$G$34:$H$342,2,FALSE)</f>
        <v>1</v>
      </c>
      <c r="E4">
        <f>VLOOKUP(A4,ML!$J$34:$K$342,2,FALSE)</f>
        <v>0.97499999999999998</v>
      </c>
      <c r="F4">
        <f>ROUND(O4,3)</f>
        <v>1</v>
      </c>
      <c r="H4">
        <f>_xlfn.RANK.AVG(B4,$B4:$F4)</f>
        <v>2</v>
      </c>
      <c r="I4">
        <f>_xlfn.RANK.AVG(C4,$B4:$F4)</f>
        <v>4</v>
      </c>
      <c r="J4">
        <f>_xlfn.RANK.AVG(D4,$B4:$F4)</f>
        <v>2</v>
      </c>
      <c r="K4">
        <f>_xlfn.RANK.AVG(E4,$B4:$F4)</f>
        <v>5</v>
      </c>
      <c r="L4">
        <f>_xlfn.RANK.AVG(F4,$B4:$F4)</f>
        <v>2</v>
      </c>
      <c r="N4">
        <v>1</v>
      </c>
      <c r="O4">
        <v>1</v>
      </c>
    </row>
    <row r="5" spans="1:15" x14ac:dyDescent="0.35">
      <c r="A5" t="s">
        <v>4</v>
      </c>
      <c r="B5">
        <f>ROUND(N5,3)</f>
        <v>1</v>
      </c>
      <c r="C5">
        <f>VLOOKUP(A5,ML!D37:E66,2,FALSE)</f>
        <v>0.97699999999999998</v>
      </c>
      <c r="D5">
        <f>VLOOKUP(A5,ML!$G$34:$H$342,2,FALSE)</f>
        <v>1</v>
      </c>
      <c r="E5">
        <f>VLOOKUP(A5,ML!$J$34:$K$342,2,FALSE)</f>
        <v>1</v>
      </c>
      <c r="F5">
        <f>ROUND(O5,3)</f>
        <v>0.98599999999999999</v>
      </c>
      <c r="H5">
        <f>_xlfn.RANK.AVG(B5,$B5:$F5)</f>
        <v>2</v>
      </c>
      <c r="I5">
        <f>_xlfn.RANK.AVG(C5,$B5:$F5)</f>
        <v>5</v>
      </c>
      <c r="J5">
        <f>_xlfn.RANK.AVG(D5,$B5:$F5)</f>
        <v>2</v>
      </c>
      <c r="K5">
        <f>_xlfn.RANK.AVG(E5,$B5:$F5)</f>
        <v>2</v>
      </c>
      <c r="L5">
        <f>_xlfn.RANK.AVG(F5,$B5:$F5)</f>
        <v>4</v>
      </c>
      <c r="N5">
        <v>1</v>
      </c>
      <c r="O5">
        <v>0.98611111111111105</v>
      </c>
    </row>
    <row r="6" spans="1:15" x14ac:dyDescent="0.35">
      <c r="A6" t="s">
        <v>5</v>
      </c>
      <c r="B6">
        <f>ROUND(N6,3)</f>
        <v>0.56000000000000005</v>
      </c>
      <c r="C6">
        <f>VLOOKUP(A6,ML!D38:E67,2,FALSE)</f>
        <v>0.51</v>
      </c>
      <c r="D6">
        <f>VLOOKUP(A6,ML!$G$34:$H$342,2,FALSE)</f>
        <v>0.18</v>
      </c>
      <c r="E6">
        <f>VLOOKUP(A6,ML!$J$34:$K$342,2,FALSE)</f>
        <v>0.44</v>
      </c>
      <c r="F6">
        <f>ROUND(O6,3)</f>
        <v>0.44</v>
      </c>
      <c r="H6">
        <f>_xlfn.RANK.AVG(B6,$B6:$F6)</f>
        <v>1</v>
      </c>
      <c r="I6">
        <f>_xlfn.RANK.AVG(C6,$B6:$F6)</f>
        <v>2</v>
      </c>
      <c r="J6">
        <f>_xlfn.RANK.AVG(D6,$B6:$F6)</f>
        <v>5</v>
      </c>
      <c r="K6">
        <f>_xlfn.RANK.AVG(E6,$B6:$F6)</f>
        <v>3.5</v>
      </c>
      <c r="L6">
        <f>_xlfn.RANK.AVG(F6,$B6:$F6)</f>
        <v>3.5</v>
      </c>
      <c r="N6">
        <v>0.56000000000000005</v>
      </c>
      <c r="O6">
        <v>0.44</v>
      </c>
    </row>
    <row r="7" spans="1:15" x14ac:dyDescent="0.35">
      <c r="A7" t="s">
        <v>6</v>
      </c>
      <c r="B7">
        <f>ROUND(N7,3)</f>
        <v>0.98899999999999999</v>
      </c>
      <c r="C7">
        <f>VLOOKUP(A7,ML!D39:E68,2,FALSE)</f>
        <v>0.93099999999999905</v>
      </c>
      <c r="D7">
        <f>VLOOKUP(A7,ML!$G$34:$H$342,2,FALSE)</f>
        <v>0.81849999999999901</v>
      </c>
      <c r="E7">
        <f>VLOOKUP(A7,ML!$J$34:$K$342,2,FALSE)</f>
        <v>0.95199999999999996</v>
      </c>
      <c r="F7">
        <f>ROUND(O7,3)</f>
        <v>0.98099999999999998</v>
      </c>
      <c r="H7">
        <f>_xlfn.RANK.AVG(B7,$B7:$F7)</f>
        <v>1</v>
      </c>
      <c r="I7">
        <f>_xlfn.RANK.AVG(C7,$B7:$F7)</f>
        <v>4</v>
      </c>
      <c r="J7">
        <f>_xlfn.RANK.AVG(D7,$B7:$F7)</f>
        <v>5</v>
      </c>
      <c r="K7">
        <f>_xlfn.RANK.AVG(E7,$B7:$F7)</f>
        <v>3</v>
      </c>
      <c r="L7">
        <f>_xlfn.RANK.AVG(F7,$B7:$F7)</f>
        <v>2</v>
      </c>
      <c r="N7">
        <v>0.98888888888888804</v>
      </c>
      <c r="O7">
        <v>0.98148148148148096</v>
      </c>
    </row>
    <row r="8" spans="1:15" x14ac:dyDescent="0.35">
      <c r="A8" t="s">
        <v>7</v>
      </c>
      <c r="B8">
        <f>ROUND(N8,3)</f>
        <v>0.94699999999999995</v>
      </c>
      <c r="C8">
        <f>VLOOKUP(A8,ML!D40:E69,2,FALSE)</f>
        <v>0.89500000000000002</v>
      </c>
      <c r="D8">
        <f>VLOOKUP(A8,ML!$G$34:$H$342,2,FALSE)</f>
        <v>0.58779999999999999</v>
      </c>
      <c r="E8">
        <f>VLOOKUP(A8,ML!$J$34:$K$342,2,FALSE)</f>
        <v>0.87</v>
      </c>
      <c r="F8">
        <f>ROUND(O8,3)</f>
        <v>0.91600000000000004</v>
      </c>
      <c r="H8">
        <f>_xlfn.RANK.AVG(B8,$B8:$F8)</f>
        <v>1</v>
      </c>
      <c r="I8">
        <f>_xlfn.RANK.AVG(C8,$B8:$F8)</f>
        <v>3</v>
      </c>
      <c r="J8">
        <f>_xlfn.RANK.AVG(D8,$B8:$F8)</f>
        <v>5</v>
      </c>
      <c r="K8">
        <f>_xlfn.RANK.AVG(E8,$B8:$F8)</f>
        <v>4</v>
      </c>
      <c r="L8">
        <f>_xlfn.RANK.AVG(F8,$B8:$F8)</f>
        <v>2</v>
      </c>
      <c r="N8">
        <v>0.94656488549618301</v>
      </c>
      <c r="O8">
        <v>0.91603053435114501</v>
      </c>
    </row>
    <row r="9" spans="1:15" x14ac:dyDescent="0.35">
      <c r="A9" t="s">
        <v>8</v>
      </c>
      <c r="B9">
        <f>ROUND(N9,3)</f>
        <v>1</v>
      </c>
      <c r="C9">
        <f>VLOOKUP(A9,ML!D41:E70,2,FALSE)</f>
        <v>0.999</v>
      </c>
      <c r="D9">
        <f>VLOOKUP(A9,ML!$G$34:$H$342,2,FALSE)</f>
        <v>0.99280000000000002</v>
      </c>
      <c r="E9">
        <f>VLOOKUP(A9,ML!$J$34:$K$342,2,FALSE)</f>
        <v>0.99299999999999999</v>
      </c>
      <c r="F9">
        <f>ROUND(O9,3)</f>
        <v>0.98599999999999999</v>
      </c>
      <c r="H9">
        <f>_xlfn.RANK.AVG(B9,$B9:$F9)</f>
        <v>1</v>
      </c>
      <c r="I9">
        <f>_xlfn.RANK.AVG(C9,$B9:$F9)</f>
        <v>2</v>
      </c>
      <c r="J9">
        <f>_xlfn.RANK.AVG(D9,$B9:$F9)</f>
        <v>4</v>
      </c>
      <c r="K9">
        <f>_xlfn.RANK.AVG(E9,$B9:$F9)</f>
        <v>3</v>
      </c>
      <c r="L9">
        <f>_xlfn.RANK.AVG(F9,$B9:$F9)</f>
        <v>5</v>
      </c>
      <c r="N9">
        <v>1</v>
      </c>
      <c r="O9">
        <v>0.98550724637681097</v>
      </c>
    </row>
    <row r="10" spans="1:15" x14ac:dyDescent="0.35">
      <c r="A10" t="s">
        <v>9</v>
      </c>
      <c r="B10">
        <f>ROUND(N10,3)</f>
        <v>0.77200000000000002</v>
      </c>
      <c r="C10">
        <f>VLOOKUP(A10,ML!D42:E71,2,FALSE)</f>
        <v>0.26</v>
      </c>
      <c r="D10">
        <f>VLOOKUP(A10,ML!$G$34:$H$342,2,FALSE)</f>
        <v>0.39539999999999997</v>
      </c>
      <c r="E10">
        <f>VLOOKUP(A10,ML!$J$34:$K$342,2,FALSE)</f>
        <v>0.36899999999999999</v>
      </c>
      <c r="F10">
        <f>ROUND(O10,3)</f>
        <v>0.73399999999999999</v>
      </c>
      <c r="H10">
        <f>_xlfn.RANK.AVG(B10,$B10:$F10)</f>
        <v>1</v>
      </c>
      <c r="I10">
        <f>_xlfn.RANK.AVG(C10,$B10:$F10)</f>
        <v>5</v>
      </c>
      <c r="J10">
        <f>_xlfn.RANK.AVG(D10,$B10:$F10)</f>
        <v>3</v>
      </c>
      <c r="K10">
        <f>_xlfn.RANK.AVG(E10,$B10:$F10)</f>
        <v>4</v>
      </c>
      <c r="L10">
        <f>_xlfn.RANK.AVG(F10,$B10:$F10)</f>
        <v>2</v>
      </c>
      <c r="N10">
        <v>0.77186311787072204</v>
      </c>
      <c r="O10">
        <v>0.73384030418250901</v>
      </c>
    </row>
    <row r="11" spans="1:15" x14ac:dyDescent="0.35">
      <c r="A11" t="s">
        <v>10</v>
      </c>
      <c r="B11">
        <f>ROUND(N11,3)</f>
        <v>0.66</v>
      </c>
      <c r="C11">
        <f>VLOOKUP(A11,ML!D43:E72,2,FALSE)</f>
        <v>0.55700000000000005</v>
      </c>
      <c r="D11">
        <f>VLOOKUP(A11,ML!$G$34:$H$342,2,FALSE)</f>
        <v>0.50739999999999996</v>
      </c>
      <c r="E11">
        <f>VLOOKUP(A11,ML!$J$34:$K$342,2,FALSE)</f>
        <v>0.58899999999999997</v>
      </c>
      <c r="F11">
        <f>ROUND(O11,3)</f>
        <v>0.627</v>
      </c>
      <c r="H11">
        <f>_xlfn.RANK.AVG(B11,$B11:$F11)</f>
        <v>1</v>
      </c>
      <c r="I11">
        <f>_xlfn.RANK.AVG(C11,$B11:$F11)</f>
        <v>4</v>
      </c>
      <c r="J11">
        <f>_xlfn.RANK.AVG(D11,$B11:$F11)</f>
        <v>5</v>
      </c>
      <c r="K11">
        <f>_xlfn.RANK.AVG(E11,$B11:$F11)</f>
        <v>3</v>
      </c>
      <c r="L11">
        <f>_xlfn.RANK.AVG(F11,$B11:$F11)</f>
        <v>2</v>
      </c>
      <c r="N11">
        <v>0.66032917139614</v>
      </c>
      <c r="O11">
        <v>0.62712826333711602</v>
      </c>
    </row>
    <row r="12" spans="1:15" x14ac:dyDescent="0.35">
      <c r="A12" t="s">
        <v>11</v>
      </c>
      <c r="B12">
        <f>ROUND(N12,3)</f>
        <v>0.53</v>
      </c>
      <c r="C12">
        <f>VLOOKUP(A12,ML!D44:E73,2,FALSE)</f>
        <v>0.501</v>
      </c>
      <c r="D12">
        <f>VLOOKUP(A12,ML!$G$34:$H$342,2,FALSE)</f>
        <v>0.59</v>
      </c>
      <c r="E12">
        <f>VLOOKUP(A12,ML!$J$34:$K$342,2,FALSE)</f>
        <v>0.56000000000000005</v>
      </c>
      <c r="F12">
        <f>ROUND(O12,3)</f>
        <v>0.52</v>
      </c>
      <c r="H12">
        <f>_xlfn.RANK.AVG(B12,$B12:$F12)</f>
        <v>3</v>
      </c>
      <c r="I12">
        <f>_xlfn.RANK.AVG(C12,$B12:$F12)</f>
        <v>5</v>
      </c>
      <c r="J12">
        <f>_xlfn.RANK.AVG(D12,$B12:$F12)</f>
        <v>1</v>
      </c>
      <c r="K12">
        <f>_xlfn.RANK.AVG(E12,$B12:$F12)</f>
        <v>2</v>
      </c>
      <c r="L12">
        <f>_xlfn.RANK.AVG(F12,$B12:$F12)</f>
        <v>4</v>
      </c>
      <c r="N12">
        <v>0.53</v>
      </c>
      <c r="O12">
        <v>0.52</v>
      </c>
    </row>
    <row r="13" spans="1:15" x14ac:dyDescent="0.35">
      <c r="A13" t="s">
        <v>12</v>
      </c>
      <c r="B13">
        <f>ROUND(N13,3)</f>
        <v>0.47299999999999998</v>
      </c>
      <c r="C13">
        <f>VLOOKUP(A13,ML!D45:E74,2,FALSE)</f>
        <v>0.245</v>
      </c>
      <c r="D13">
        <f>VLOOKUP(A13,ML!$G$34:$H$342,2,FALSE)</f>
        <v>0.33779999999999999</v>
      </c>
      <c r="E13">
        <f>VLOOKUP(A13,ML!$J$34:$K$342,2,FALSE)</f>
        <v>0.28399999999999997</v>
      </c>
      <c r="F13">
        <f>ROUND(O13,3)</f>
        <v>0.59499999999999997</v>
      </c>
      <c r="H13">
        <f>_xlfn.RANK.AVG(B13,$B13:$F13)</f>
        <v>2</v>
      </c>
      <c r="I13">
        <f>_xlfn.RANK.AVG(C13,$B13:$F13)</f>
        <v>5</v>
      </c>
      <c r="J13">
        <f>_xlfn.RANK.AVG(D13,$B13:$F13)</f>
        <v>3</v>
      </c>
      <c r="K13">
        <f>_xlfn.RANK.AVG(E13,$B13:$F13)</f>
        <v>4</v>
      </c>
      <c r="L13">
        <f>_xlfn.RANK.AVG(F13,$B13:$F13)</f>
        <v>1</v>
      </c>
      <c r="N13">
        <v>0.47297297297297197</v>
      </c>
      <c r="O13">
        <v>0.59459459459459396</v>
      </c>
    </row>
    <row r="14" spans="1:15" x14ac:dyDescent="0.35">
      <c r="A14" t="s">
        <v>13</v>
      </c>
      <c r="B14">
        <f>ROUND(N14,3)</f>
        <v>0.54800000000000004</v>
      </c>
      <c r="C14">
        <f>VLOOKUP(A14,ML!D46:E75,2,FALSE)</f>
        <v>0.27399999999999902</v>
      </c>
      <c r="D14">
        <f>VLOOKUP(A14,ML!$G$34:$H$342,2,FALSE)</f>
        <v>0.26939999999999997</v>
      </c>
      <c r="E14">
        <f>VLOOKUP(A14,ML!$J$34:$K$342,2,FALSE)</f>
        <v>0.52</v>
      </c>
      <c r="F14">
        <f>ROUND(O14,3)</f>
        <v>0.35599999999999998</v>
      </c>
      <c r="H14">
        <f>_xlfn.RANK.AVG(B14,$B14:$F14)</f>
        <v>1</v>
      </c>
      <c r="I14">
        <f>_xlfn.RANK.AVG(C14,$B14:$F14)</f>
        <v>4</v>
      </c>
      <c r="J14">
        <f>_xlfn.RANK.AVG(D14,$B14:$F14)</f>
        <v>5</v>
      </c>
      <c r="K14">
        <f>_xlfn.RANK.AVG(E14,$B14:$F14)</f>
        <v>2</v>
      </c>
      <c r="L14">
        <f>_xlfn.RANK.AVG(F14,$B14:$F14)</f>
        <v>3</v>
      </c>
      <c r="N14">
        <v>0.54823529411764704</v>
      </c>
      <c r="O14">
        <v>0.35647058823529398</v>
      </c>
    </row>
    <row r="15" spans="1:15" x14ac:dyDescent="0.35">
      <c r="A15" t="s">
        <v>14</v>
      </c>
      <c r="B15">
        <f>ROUND(N15,3)</f>
        <v>0.73199999999999998</v>
      </c>
      <c r="C15">
        <f>VLOOKUP(A15,ML!D47:E76,2,FALSE)</f>
        <v>0.76800000000000002</v>
      </c>
      <c r="D15">
        <f>VLOOKUP(A15,ML!$G$34:$H$342,2,FALSE)</f>
        <v>0.7268</v>
      </c>
      <c r="E15">
        <f>VLOOKUP(A15,ML!$J$34:$K$342,2,FALSE)</f>
        <v>0.74099999999999999</v>
      </c>
      <c r="F15">
        <f>ROUND(O15,3)</f>
        <v>0.78</v>
      </c>
      <c r="H15">
        <f>_xlfn.RANK.AVG(B15,$B15:$F15)</f>
        <v>4</v>
      </c>
      <c r="I15">
        <f>_xlfn.RANK.AVG(C15,$B15:$F15)</f>
        <v>2</v>
      </c>
      <c r="J15">
        <f>_xlfn.RANK.AVG(D15,$B15:$F15)</f>
        <v>5</v>
      </c>
      <c r="K15">
        <f>_xlfn.RANK.AVG(E15,$B15:$F15)</f>
        <v>3</v>
      </c>
      <c r="L15">
        <f>_xlfn.RANK.AVG(F15,$B15:$F15)</f>
        <v>1</v>
      </c>
      <c r="N15">
        <v>0.73170731707317005</v>
      </c>
      <c r="O15">
        <v>0.78048780487804803</v>
      </c>
    </row>
    <row r="16" spans="1:15" x14ac:dyDescent="0.35">
      <c r="A16" t="s">
        <v>15</v>
      </c>
      <c r="B16">
        <f>ROUND(N16,3)</f>
        <v>0.64300000000000002</v>
      </c>
      <c r="C16">
        <f>VLOOKUP(A16,ML!D48:E77,2,FALSE)</f>
        <v>0.67299999999999904</v>
      </c>
      <c r="D16">
        <f>VLOOKUP(A16,ML!$G$34:$H$342,2,FALSE)</f>
        <v>0.3362</v>
      </c>
      <c r="E16">
        <f>VLOOKUP(A16,ML!$J$34:$K$342,2,FALSE)</f>
        <v>0.60299999999999998</v>
      </c>
      <c r="F16">
        <f>ROUND(O16,3)</f>
        <v>0.57299999999999995</v>
      </c>
      <c r="H16">
        <f>_xlfn.RANK.AVG(B16,$B16:$F16)</f>
        <v>2</v>
      </c>
      <c r="I16">
        <f>_xlfn.RANK.AVG(C16,$B16:$F16)</f>
        <v>1</v>
      </c>
      <c r="J16">
        <f>_xlfn.RANK.AVG(D16,$B16:$F16)</f>
        <v>5</v>
      </c>
      <c r="K16">
        <f>_xlfn.RANK.AVG(E16,$B16:$F16)</f>
        <v>3</v>
      </c>
      <c r="L16">
        <f>_xlfn.RANK.AVG(F16,$B16:$F16)</f>
        <v>4</v>
      </c>
      <c r="N16">
        <v>0.64274128142741205</v>
      </c>
      <c r="O16">
        <v>0.57258718572587097</v>
      </c>
    </row>
    <row r="17" spans="1:15" x14ac:dyDescent="0.35">
      <c r="A17" t="s">
        <v>16</v>
      </c>
      <c r="B17">
        <f>ROUND(N17,3)</f>
        <v>0.93300000000000005</v>
      </c>
      <c r="C17">
        <f>VLOOKUP(A17,ML!D49:E78,2,FALSE)</f>
        <v>0.84699999999999998</v>
      </c>
      <c r="D17">
        <f>VLOOKUP(A17,ML!$G$34:$H$342,2,FALSE)</f>
        <v>0.85560000000000003</v>
      </c>
      <c r="E17">
        <f>VLOOKUP(A17,ML!$J$34:$K$342,2,FALSE)</f>
        <v>0.84399999999999997</v>
      </c>
      <c r="F17">
        <f>ROUND(O17,3)</f>
        <v>0.91100000000000003</v>
      </c>
      <c r="H17">
        <f>_xlfn.RANK.AVG(B17,$B17:$F17)</f>
        <v>1</v>
      </c>
      <c r="I17">
        <f>_xlfn.RANK.AVG(C17,$B17:$F17)</f>
        <v>4</v>
      </c>
      <c r="J17">
        <f>_xlfn.RANK.AVG(D17,$B17:$F17)</f>
        <v>3</v>
      </c>
      <c r="K17">
        <f>_xlfn.RANK.AVG(E17,$B17:$F17)</f>
        <v>5</v>
      </c>
      <c r="L17">
        <f>_xlfn.RANK.AVG(F17,$B17:$F17)</f>
        <v>2</v>
      </c>
      <c r="N17">
        <v>0.93333333333333302</v>
      </c>
      <c r="O17">
        <v>0.91111111111111098</v>
      </c>
    </row>
    <row r="18" spans="1:15" x14ac:dyDescent="0.35">
      <c r="A18" t="s">
        <v>17</v>
      </c>
      <c r="B18">
        <f>ROUND(N18,3)</f>
        <v>0.54</v>
      </c>
      <c r="C18">
        <f>VLOOKUP(A18,ML!D50:E79,2,FALSE)</f>
        <v>0.503</v>
      </c>
      <c r="D18">
        <f>VLOOKUP(A18,ML!$G$34:$H$342,2,FALSE)</f>
        <v>0.5</v>
      </c>
      <c r="E18">
        <f>VLOOKUP(A18,ML!$J$34:$K$342,2,FALSE)</f>
        <v>0.46</v>
      </c>
      <c r="F18">
        <f>ROUND(O18,3)</f>
        <v>0.5</v>
      </c>
      <c r="H18">
        <f>_xlfn.RANK.AVG(B18,$B18:$F18)</f>
        <v>1</v>
      </c>
      <c r="I18">
        <f>_xlfn.RANK.AVG(C18,$B18:$F18)</f>
        <v>2</v>
      </c>
      <c r="J18">
        <f>_xlfn.RANK.AVG(D18,$B18:$F18)</f>
        <v>3.5</v>
      </c>
      <c r="K18">
        <f>_xlfn.RANK.AVG(E18,$B18:$F18)</f>
        <v>5</v>
      </c>
      <c r="L18">
        <f>_xlfn.RANK.AVG(F18,$B18:$F18)</f>
        <v>3.5</v>
      </c>
      <c r="N18">
        <v>0.54</v>
      </c>
      <c r="O18">
        <v>0.5</v>
      </c>
    </row>
    <row r="19" spans="1:15" x14ac:dyDescent="0.35">
      <c r="A19" t="s">
        <v>18</v>
      </c>
      <c r="B19">
        <f>ROUND(N19,3)</f>
        <v>0.89400000000000002</v>
      </c>
      <c r="C19">
        <f>VLOOKUP(A19,ML!D51:E80,2,FALSE)</f>
        <v>0.83499999999999996</v>
      </c>
      <c r="D19">
        <f>VLOOKUP(A19,ML!$G$34:$H$342,2,FALSE)</f>
        <v>0.87780000000000002</v>
      </c>
      <c r="E19">
        <f>VLOOKUP(A19,ML!$J$34:$K$342,2,FALSE)</f>
        <v>0.91700000000000004</v>
      </c>
      <c r="F19">
        <f>ROUND(O19,3)</f>
        <v>0.85599999999999998</v>
      </c>
      <c r="H19">
        <f>_xlfn.RANK.AVG(B19,$B19:$F19)</f>
        <v>2</v>
      </c>
      <c r="I19">
        <f>_xlfn.RANK.AVG(C19,$B19:$F19)</f>
        <v>5</v>
      </c>
      <c r="J19">
        <f>_xlfn.RANK.AVG(D19,$B19:$F19)</f>
        <v>3</v>
      </c>
      <c r="K19">
        <f>_xlfn.RANK.AVG(E19,$B19:$F19)</f>
        <v>1</v>
      </c>
      <c r="L19">
        <f>_xlfn.RANK.AVG(F19,$B19:$F19)</f>
        <v>4</v>
      </c>
      <c r="N19">
        <v>0.89444444444444404</v>
      </c>
      <c r="O19">
        <v>0.85555555555555496</v>
      </c>
    </row>
    <row r="20" spans="1:15" x14ac:dyDescent="0.35">
      <c r="A20" t="s">
        <v>19</v>
      </c>
      <c r="B20">
        <f>ROUND(N20,3)</f>
        <v>1</v>
      </c>
      <c r="C20">
        <f>VLOOKUP(A20,ML!D52:E81,2,FALSE)</f>
        <v>0.999</v>
      </c>
      <c r="D20">
        <f>VLOOKUP(A20,ML!$G$34:$H$342,2,FALSE)</f>
        <v>0.36420000000000002</v>
      </c>
      <c r="E20">
        <f>VLOOKUP(A20,ML!$J$34:$K$342,2,FALSE)</f>
        <v>0.90800000000000003</v>
      </c>
      <c r="F20">
        <f>ROUND(O20,3)</f>
        <v>1</v>
      </c>
      <c r="H20">
        <f>_xlfn.RANK.AVG(B20,$B20:$F20)</f>
        <v>1.5</v>
      </c>
      <c r="I20">
        <f>_xlfn.RANK.AVG(C20,$B20:$F20)</f>
        <v>3</v>
      </c>
      <c r="J20">
        <f>_xlfn.RANK.AVG(D20,$B20:$F20)</f>
        <v>5</v>
      </c>
      <c r="K20">
        <f>_xlfn.RANK.AVG(E20,$B20:$F20)</f>
        <v>4</v>
      </c>
      <c r="L20">
        <f>_xlfn.RANK.AVG(F20,$B20:$F20)</f>
        <v>1.5</v>
      </c>
      <c r="N20">
        <v>1</v>
      </c>
      <c r="O20">
        <v>1</v>
      </c>
    </row>
    <row r="21" spans="1:15" x14ac:dyDescent="0.35">
      <c r="A21" t="s">
        <v>20</v>
      </c>
      <c r="B21">
        <f>ROUND(N21,3)</f>
        <v>0.97899999999999998</v>
      </c>
      <c r="C21">
        <f>VLOOKUP(A21,ML!D53:E82,2,FALSE)</f>
        <v>0.95199999999999996</v>
      </c>
      <c r="D21">
        <f>VLOOKUP(A21,ML!$G$34:$H$342,2,FALSE)</f>
        <v>0.62090000000000001</v>
      </c>
      <c r="E21">
        <f>VLOOKUP(A21,ML!$J$34:$K$342,2,FALSE)</f>
        <v>0.92</v>
      </c>
      <c r="F21">
        <f>ROUND(O21,3)</f>
        <v>0.96699999999999997</v>
      </c>
      <c r="H21">
        <f>_xlfn.RANK.AVG(B21,$B21:$F21)</f>
        <v>1</v>
      </c>
      <c r="I21">
        <f>_xlfn.RANK.AVG(C21,$B21:$F21)</f>
        <v>3</v>
      </c>
      <c r="J21">
        <f>_xlfn.RANK.AVG(D21,$B21:$F21)</f>
        <v>5</v>
      </c>
      <c r="K21">
        <f>_xlfn.RANK.AVG(E21,$B21:$F21)</f>
        <v>4</v>
      </c>
      <c r="L21">
        <f>_xlfn.RANK.AVG(F21,$B21:$F21)</f>
        <v>2</v>
      </c>
      <c r="N21">
        <v>0.97913093196112</v>
      </c>
      <c r="O21">
        <v>0.967409948542024</v>
      </c>
    </row>
    <row r="22" spans="1:15" x14ac:dyDescent="0.35">
      <c r="A22" t="s">
        <v>21</v>
      </c>
      <c r="B22">
        <f>ROUND(N22,3)</f>
        <v>0.28999999999999998</v>
      </c>
      <c r="C22">
        <f>VLOOKUP(A22,ML!D54:E83,2,FALSE)</f>
        <v>0.28399999999999997</v>
      </c>
      <c r="D22">
        <f>VLOOKUP(A22,ML!$G$34:$H$342,2,FALSE)</f>
        <v>0.17859999999999901</v>
      </c>
      <c r="E22">
        <f>VLOOKUP(A22,ML!$J$34:$K$342,2,FALSE)</f>
        <v>0.251</v>
      </c>
      <c r="F22">
        <f>ROUND(O22,3)</f>
        <v>0.26500000000000001</v>
      </c>
      <c r="H22">
        <f>_xlfn.RANK.AVG(B22,$B22:$F22)</f>
        <v>1</v>
      </c>
      <c r="I22">
        <f>_xlfn.RANK.AVG(C22,$B22:$F22)</f>
        <v>2</v>
      </c>
      <c r="J22">
        <f>_xlfn.RANK.AVG(D22,$B22:$F22)</f>
        <v>5</v>
      </c>
      <c r="K22">
        <f>_xlfn.RANK.AVG(E22,$B22:$F22)</f>
        <v>4</v>
      </c>
      <c r="L22">
        <f>_xlfn.RANK.AVG(F22,$B22:$F22)</f>
        <v>3</v>
      </c>
      <c r="N22">
        <v>0.29048613182224797</v>
      </c>
      <c r="O22">
        <v>0.26543393975544199</v>
      </c>
    </row>
    <row r="23" spans="1:15" x14ac:dyDescent="0.35">
      <c r="A23" t="s">
        <v>22</v>
      </c>
      <c r="B23">
        <f>ROUND(N23,3)</f>
        <v>0.90800000000000003</v>
      </c>
      <c r="C23">
        <f>VLOOKUP(A23,ML!D55:E84,2,FALSE)</f>
        <v>0.80599999999999905</v>
      </c>
      <c r="D23">
        <f>VLOOKUP(A23,ML!$G$34:$H$342,2,FALSE)</f>
        <v>0.84870000000000001</v>
      </c>
      <c r="E23">
        <f>VLOOKUP(A23,ML!$J$34:$K$342,2,FALSE)</f>
        <v>0.90800000000000003</v>
      </c>
      <c r="F23">
        <f>ROUND(O23,3)</f>
        <v>0.88200000000000001</v>
      </c>
      <c r="H23">
        <f>_xlfn.RANK.AVG(B23,$B23:$F23)</f>
        <v>1.5</v>
      </c>
      <c r="I23">
        <f>_xlfn.RANK.AVG(C23,$B23:$F23)</f>
        <v>5</v>
      </c>
      <c r="J23">
        <f>_xlfn.RANK.AVG(D23,$B23:$F23)</f>
        <v>4</v>
      </c>
      <c r="K23">
        <f>_xlfn.RANK.AVG(E23,$B23:$F23)</f>
        <v>1.5</v>
      </c>
      <c r="L23">
        <f>_xlfn.RANK.AVG(F23,$B23:$F23)</f>
        <v>3</v>
      </c>
      <c r="N23">
        <v>0.90789473684210498</v>
      </c>
      <c r="O23">
        <v>0.88157894736842102</v>
      </c>
    </row>
    <row r="24" spans="1:15" x14ac:dyDescent="0.35">
      <c r="A24" t="s">
        <v>23</v>
      </c>
      <c r="B24">
        <f>ROUND(N24,3)</f>
        <v>0.89100000000000001</v>
      </c>
      <c r="C24">
        <f>VLOOKUP(A24,ML!D56:E85,2,FALSE)</f>
        <v>0.82</v>
      </c>
      <c r="D24">
        <f>VLOOKUP(A24,ML!$G$34:$H$342,2,FALSE)</f>
        <v>0.85670000000000002</v>
      </c>
      <c r="E24">
        <f>VLOOKUP(A24,ML!$J$34:$K$342,2,FALSE)</f>
        <v>0.75800000000000001</v>
      </c>
      <c r="F24">
        <f>ROUND(O24,3)</f>
        <v>0.86</v>
      </c>
      <c r="H24">
        <f>_xlfn.RANK.AVG(B24,$B24:$F24)</f>
        <v>1</v>
      </c>
      <c r="I24">
        <f>_xlfn.RANK.AVG(C24,$B24:$F24)</f>
        <v>4</v>
      </c>
      <c r="J24">
        <f>_xlfn.RANK.AVG(D24,$B24:$F24)</f>
        <v>3</v>
      </c>
      <c r="K24">
        <f>_xlfn.RANK.AVG(E24,$B24:$F24)</f>
        <v>5</v>
      </c>
      <c r="L24">
        <f>_xlfn.RANK.AVG(F24,$B24:$F24)</f>
        <v>2</v>
      </c>
      <c r="N24">
        <v>0.89078498293515296</v>
      </c>
      <c r="O24">
        <v>0.860068259385665</v>
      </c>
    </row>
    <row r="25" spans="1:15" x14ac:dyDescent="0.35">
      <c r="A25" t="s">
        <v>24</v>
      </c>
      <c r="B25">
        <f>ROUND(N25,3)</f>
        <v>0.5</v>
      </c>
      <c r="C25">
        <f>VLOOKUP(A25,ML!D57:E86,2,FALSE)</f>
        <v>0.41799999999999998</v>
      </c>
      <c r="D25">
        <f>VLOOKUP(A25,ML!$G$34:$H$342,2,FALSE)</f>
        <v>0.4778</v>
      </c>
      <c r="E25">
        <f>VLOOKUP(A25,ML!$J$34:$K$342,2,FALSE)</f>
        <v>0.47199999999999998</v>
      </c>
      <c r="F25">
        <f>ROUND(O25,3)</f>
        <v>0.5</v>
      </c>
      <c r="H25">
        <f>_xlfn.RANK.AVG(B25,$B25:$F25)</f>
        <v>1.5</v>
      </c>
      <c r="I25">
        <f>_xlfn.RANK.AVG(C25,$B25:$F25)</f>
        <v>5</v>
      </c>
      <c r="J25">
        <f>_xlfn.RANK.AVG(D25,$B25:$F25)</f>
        <v>3</v>
      </c>
      <c r="K25">
        <f>_xlfn.RANK.AVG(E25,$B25:$F25)</f>
        <v>4</v>
      </c>
      <c r="L25">
        <f>_xlfn.RANK.AVG(F25,$B25:$F25)</f>
        <v>1.5</v>
      </c>
      <c r="N25">
        <v>0.5</v>
      </c>
      <c r="O25">
        <v>0.5</v>
      </c>
    </row>
    <row r="26" spans="1:15" x14ac:dyDescent="0.35">
      <c r="A26" t="s">
        <v>25</v>
      </c>
      <c r="B26">
        <f>ROUND(N26,3)</f>
        <v>0.46700000000000003</v>
      </c>
      <c r="C26">
        <f>VLOOKUP(A26,ML!D58:E87,2,FALSE)</f>
        <v>0.36299999999999999</v>
      </c>
      <c r="D26">
        <f>VLOOKUP(A26,ML!$G$34:$H$342,2,FALSE)</f>
        <v>0.4</v>
      </c>
      <c r="E26">
        <f>VLOOKUP(A26,ML!$J$34:$K$342,2,FALSE)</f>
        <v>0.4</v>
      </c>
      <c r="F26">
        <f>ROUND(O26,3)</f>
        <v>0.4</v>
      </c>
      <c r="H26">
        <f>_xlfn.RANK.AVG(B26,$B26:$F26)</f>
        <v>1</v>
      </c>
      <c r="I26">
        <f>_xlfn.RANK.AVG(C26,$B26:$F26)</f>
        <v>5</v>
      </c>
      <c r="J26">
        <f>_xlfn.RANK.AVG(D26,$B26:$F26)</f>
        <v>3</v>
      </c>
      <c r="K26">
        <f>_xlfn.RANK.AVG(E26,$B26:$F26)</f>
        <v>3</v>
      </c>
      <c r="L26">
        <f>_xlfn.RANK.AVG(F26,$B26:$F26)</f>
        <v>3</v>
      </c>
      <c r="N26">
        <v>0.46666666666666601</v>
      </c>
      <c r="O26">
        <v>0.4</v>
      </c>
    </row>
    <row r="27" spans="1:15" x14ac:dyDescent="0.35">
      <c r="A27" t="s">
        <v>26</v>
      </c>
      <c r="B27">
        <f>ROUND(N27,3)</f>
        <v>0.92800000000000005</v>
      </c>
      <c r="C27">
        <f>VLOOKUP(A27,ML!D59:E88,2,FALSE)</f>
        <v>0.77500000000000002</v>
      </c>
      <c r="D27">
        <f>VLOOKUP(A27,ML!$G$34:$H$342,2,FALSE)</f>
        <v>0.875</v>
      </c>
      <c r="E27">
        <f>VLOOKUP(A27,ML!$J$34:$K$342,2,FALSE)</f>
        <v>0.94399999999999995</v>
      </c>
      <c r="F27">
        <f>ROUND(O27,3)</f>
        <v>0.92500000000000004</v>
      </c>
      <c r="H27">
        <f>_xlfn.RANK.AVG(B27,$B27:$F27)</f>
        <v>2</v>
      </c>
      <c r="I27">
        <f>_xlfn.RANK.AVG(C27,$B27:$F27)</f>
        <v>5</v>
      </c>
      <c r="J27">
        <f>_xlfn.RANK.AVG(D27,$B27:$F27)</f>
        <v>4</v>
      </c>
      <c r="K27">
        <f>_xlfn.RANK.AVG(E27,$B27:$F27)</f>
        <v>1</v>
      </c>
      <c r="L27">
        <f>_xlfn.RANK.AVG(F27,$B27:$F27)</f>
        <v>3</v>
      </c>
      <c r="N27">
        <v>0.92812499999999998</v>
      </c>
      <c r="O27">
        <v>0.92500000000000004</v>
      </c>
    </row>
    <row r="29" spans="1:15" x14ac:dyDescent="0.35">
      <c r="A29" t="s">
        <v>175</v>
      </c>
      <c r="B29">
        <f>AVERAGE(N2:N27)</f>
        <v>0.74785265989416161</v>
      </c>
      <c r="C29">
        <f>AVERAGE(C2:C27)</f>
        <v>0.66742307692307667</v>
      </c>
      <c r="D29">
        <f>AVERAGE(D2:D27)</f>
        <v>0.60732307692307697</v>
      </c>
      <c r="E29">
        <f>AVERAGE(E2:E27)</f>
        <v>0.68992307692307686</v>
      </c>
      <c r="F29">
        <f>AVERAGE(O2:O27)</f>
        <v>0.72604090548687905</v>
      </c>
      <c r="H29">
        <f>AVERAGE(H2:H27)</f>
        <v>1.5769230769230769</v>
      </c>
      <c r="I29">
        <f>AVERAGE(I2:I27)</f>
        <v>3.7692307692307692</v>
      </c>
      <c r="J29">
        <f>AVERAGE(J2:J27)</f>
        <v>3.75</v>
      </c>
      <c r="K29">
        <f>AVERAGE(K2:K27)</f>
        <v>3.2115384615384617</v>
      </c>
      <c r="L29">
        <f>AVERAGE(L2:L27)</f>
        <v>2.6923076923076925</v>
      </c>
    </row>
    <row r="33" spans="1:14" x14ac:dyDescent="0.35">
      <c r="A33" t="s">
        <v>27</v>
      </c>
      <c r="B33" t="s">
        <v>36</v>
      </c>
      <c r="D33" t="s">
        <v>35</v>
      </c>
      <c r="E33" t="s">
        <v>28</v>
      </c>
      <c r="G33" t="s">
        <v>34</v>
      </c>
      <c r="H33" t="s">
        <v>33</v>
      </c>
      <c r="J33" t="s">
        <v>37</v>
      </c>
      <c r="K33" t="s">
        <v>170</v>
      </c>
      <c r="M33" t="s">
        <v>0</v>
      </c>
      <c r="N33" t="s">
        <v>171</v>
      </c>
    </row>
    <row r="34" spans="1:14" x14ac:dyDescent="0.35">
      <c r="A34" t="s">
        <v>1</v>
      </c>
      <c r="B34">
        <v>0.99333333333333296</v>
      </c>
      <c r="D34" t="s">
        <v>1</v>
      </c>
      <c r="E34">
        <v>0.98799999999999999</v>
      </c>
      <c r="G34" t="s">
        <v>1</v>
      </c>
      <c r="H34">
        <v>0.99329999999999996</v>
      </c>
      <c r="J34" t="s">
        <v>38</v>
      </c>
      <c r="K34">
        <v>0.61</v>
      </c>
      <c r="M34" t="s">
        <v>1</v>
      </c>
      <c r="N34">
        <v>0.98666666666666603</v>
      </c>
    </row>
    <row r="35" spans="1:14" x14ac:dyDescent="0.35">
      <c r="A35" t="s">
        <v>2</v>
      </c>
      <c r="B35">
        <v>0.266666666666666</v>
      </c>
      <c r="D35" t="s">
        <v>2</v>
      </c>
      <c r="E35">
        <v>0.191</v>
      </c>
      <c r="G35" t="s">
        <v>2</v>
      </c>
      <c r="H35">
        <v>0.2</v>
      </c>
      <c r="J35" t="s">
        <v>39</v>
      </c>
      <c r="K35">
        <v>0.65200000000000002</v>
      </c>
      <c r="M35" t="s">
        <v>2</v>
      </c>
      <c r="N35">
        <v>0.2</v>
      </c>
    </row>
    <row r="36" spans="1:14" x14ac:dyDescent="0.35">
      <c r="A36" t="s">
        <v>3</v>
      </c>
      <c r="B36">
        <v>1</v>
      </c>
      <c r="D36" t="s">
        <v>3</v>
      </c>
      <c r="E36">
        <v>0.98199999999999998</v>
      </c>
      <c r="G36" t="s">
        <v>3</v>
      </c>
      <c r="H36">
        <v>1</v>
      </c>
      <c r="J36" t="s">
        <v>40</v>
      </c>
      <c r="K36">
        <v>0.65600000000000003</v>
      </c>
      <c r="M36" t="s">
        <v>3</v>
      </c>
      <c r="N36">
        <v>0.97499999999999998</v>
      </c>
    </row>
    <row r="37" spans="1:14" x14ac:dyDescent="0.35">
      <c r="A37" t="s">
        <v>4</v>
      </c>
      <c r="B37">
        <v>1</v>
      </c>
      <c r="D37" t="s">
        <v>29</v>
      </c>
      <c r="E37">
        <v>0.97</v>
      </c>
      <c r="G37" t="s">
        <v>4</v>
      </c>
      <c r="H37">
        <v>1</v>
      </c>
      <c r="J37" t="s">
        <v>41</v>
      </c>
      <c r="K37">
        <v>0.70599999999999996</v>
      </c>
      <c r="M37" t="s">
        <v>4</v>
      </c>
      <c r="N37">
        <v>1</v>
      </c>
    </row>
    <row r="38" spans="1:14" x14ac:dyDescent="0.35">
      <c r="A38" t="s">
        <v>5</v>
      </c>
      <c r="B38">
        <v>0.56000000000000005</v>
      </c>
      <c r="D38" t="s">
        <v>4</v>
      </c>
      <c r="E38">
        <v>0.97699999999999998</v>
      </c>
      <c r="G38" t="s">
        <v>5</v>
      </c>
      <c r="H38">
        <v>0.18</v>
      </c>
      <c r="J38" t="s">
        <v>42</v>
      </c>
      <c r="K38">
        <v>0.63300000000000001</v>
      </c>
      <c r="M38" t="s">
        <v>5</v>
      </c>
      <c r="N38">
        <v>0.57999999999999996</v>
      </c>
    </row>
    <row r="39" spans="1:14" x14ac:dyDescent="0.35">
      <c r="A39" t="s">
        <v>6</v>
      </c>
      <c r="B39">
        <v>0.98888888888888804</v>
      </c>
      <c r="D39" t="s">
        <v>5</v>
      </c>
      <c r="E39">
        <v>0.51</v>
      </c>
      <c r="G39" t="s">
        <v>7</v>
      </c>
      <c r="H39">
        <v>0.58779999999999999</v>
      </c>
      <c r="J39" t="s">
        <v>43</v>
      </c>
      <c r="K39">
        <v>0.82899999999999996</v>
      </c>
      <c r="M39" t="s">
        <v>6</v>
      </c>
      <c r="N39">
        <v>0.91481481481481397</v>
      </c>
    </row>
    <row r="40" spans="1:14" x14ac:dyDescent="0.35">
      <c r="A40" t="s">
        <v>7</v>
      </c>
      <c r="B40">
        <v>0.94656488549618301</v>
      </c>
      <c r="D40" t="s">
        <v>7</v>
      </c>
      <c r="E40">
        <v>0.89500000000000002</v>
      </c>
      <c r="G40" t="s">
        <v>8</v>
      </c>
      <c r="H40">
        <v>0.99280000000000002</v>
      </c>
      <c r="J40" t="s">
        <v>1</v>
      </c>
      <c r="K40">
        <v>0.99299999999999999</v>
      </c>
      <c r="M40" t="s">
        <v>7</v>
      </c>
      <c r="N40">
        <v>0.61832061068702204</v>
      </c>
    </row>
    <row r="41" spans="1:14" x14ac:dyDescent="0.35">
      <c r="A41" t="s">
        <v>8</v>
      </c>
      <c r="B41">
        <v>1</v>
      </c>
      <c r="D41" t="s">
        <v>8</v>
      </c>
      <c r="E41">
        <v>0.999</v>
      </c>
      <c r="G41" t="s">
        <v>9</v>
      </c>
      <c r="H41">
        <v>0.39539999999999997</v>
      </c>
      <c r="J41" t="s">
        <v>2</v>
      </c>
      <c r="K41">
        <v>0.26700000000000002</v>
      </c>
      <c r="M41" t="s">
        <v>8</v>
      </c>
      <c r="N41">
        <v>0.96376811594202805</v>
      </c>
    </row>
    <row r="42" spans="1:14" x14ac:dyDescent="0.35">
      <c r="A42" t="s">
        <v>9</v>
      </c>
      <c r="B42">
        <v>0.77186311787072204</v>
      </c>
      <c r="D42" t="s">
        <v>6</v>
      </c>
      <c r="E42">
        <v>0.93099999999999905</v>
      </c>
      <c r="G42" t="s">
        <v>6</v>
      </c>
      <c r="H42">
        <v>0.81849999999999901</v>
      </c>
      <c r="J42" t="s">
        <v>44</v>
      </c>
      <c r="K42">
        <v>0.98</v>
      </c>
      <c r="M42" t="s">
        <v>9</v>
      </c>
      <c r="N42">
        <v>0.32319391634980899</v>
      </c>
    </row>
    <row r="43" spans="1:14" x14ac:dyDescent="0.35">
      <c r="A43" t="s">
        <v>10</v>
      </c>
      <c r="B43">
        <v>0.66032917139614</v>
      </c>
      <c r="D43" t="s">
        <v>9</v>
      </c>
      <c r="E43">
        <v>0.26</v>
      </c>
      <c r="G43" t="s">
        <v>10</v>
      </c>
      <c r="H43">
        <v>0.50739999999999996</v>
      </c>
      <c r="J43" t="s">
        <v>3</v>
      </c>
      <c r="K43">
        <v>0.97499999999999998</v>
      </c>
      <c r="M43" t="s">
        <v>10</v>
      </c>
      <c r="N43">
        <v>0.52866061293984101</v>
      </c>
    </row>
    <row r="44" spans="1:14" x14ac:dyDescent="0.35">
      <c r="A44" t="s">
        <v>11</v>
      </c>
      <c r="B44">
        <v>0.53</v>
      </c>
      <c r="D44" t="s">
        <v>10</v>
      </c>
      <c r="E44">
        <v>0.55700000000000005</v>
      </c>
      <c r="G44" t="s">
        <v>11</v>
      </c>
      <c r="H44">
        <v>0.59</v>
      </c>
      <c r="J44" t="s">
        <v>45</v>
      </c>
      <c r="K44">
        <v>0.73299999999999998</v>
      </c>
      <c r="M44" t="s">
        <v>11</v>
      </c>
      <c r="N44">
        <v>0.53</v>
      </c>
    </row>
    <row r="45" spans="1:14" x14ac:dyDescent="0.35">
      <c r="A45" t="s">
        <v>12</v>
      </c>
      <c r="B45">
        <v>0.47297297297297197</v>
      </c>
      <c r="D45" t="s">
        <v>11</v>
      </c>
      <c r="E45">
        <v>0.501</v>
      </c>
      <c r="G45" t="s">
        <v>12</v>
      </c>
      <c r="H45">
        <v>0.33779999999999999</v>
      </c>
      <c r="J45" t="s">
        <v>46</v>
      </c>
      <c r="K45">
        <v>0.9</v>
      </c>
      <c r="M45" t="s">
        <v>12</v>
      </c>
      <c r="N45">
        <v>0.18918918918918901</v>
      </c>
    </row>
    <row r="46" spans="1:14" x14ac:dyDescent="0.35">
      <c r="A46" t="s">
        <v>13</v>
      </c>
      <c r="B46">
        <v>0.54823529411764704</v>
      </c>
      <c r="D46" t="s">
        <v>12</v>
      </c>
      <c r="E46">
        <v>0.245</v>
      </c>
      <c r="G46" t="s">
        <v>13</v>
      </c>
      <c r="H46">
        <v>0.26939999999999997</v>
      </c>
      <c r="J46" t="s">
        <v>47</v>
      </c>
      <c r="K46">
        <v>0.9</v>
      </c>
      <c r="M46" t="s">
        <v>13</v>
      </c>
      <c r="N46">
        <v>0.60705882352941098</v>
      </c>
    </row>
    <row r="47" spans="1:14" x14ac:dyDescent="0.35">
      <c r="A47" t="s">
        <v>14</v>
      </c>
      <c r="B47">
        <v>0.73170731707317005</v>
      </c>
      <c r="D47" t="s">
        <v>13</v>
      </c>
      <c r="E47">
        <v>0.27399999999999902</v>
      </c>
      <c r="G47" t="s">
        <v>14</v>
      </c>
      <c r="H47">
        <v>0.7268</v>
      </c>
      <c r="J47" t="s">
        <v>48</v>
      </c>
      <c r="K47">
        <v>1</v>
      </c>
      <c r="M47" t="s">
        <v>14</v>
      </c>
      <c r="N47">
        <v>0.71707317073170695</v>
      </c>
    </row>
    <row r="48" spans="1:14" x14ac:dyDescent="0.35">
      <c r="A48" t="s">
        <v>15</v>
      </c>
      <c r="B48">
        <v>0.64274128142741205</v>
      </c>
      <c r="D48" t="s">
        <v>14</v>
      </c>
      <c r="E48">
        <v>0.76800000000000002</v>
      </c>
      <c r="G48" t="s">
        <v>16</v>
      </c>
      <c r="H48">
        <v>0.85560000000000003</v>
      </c>
      <c r="J48" t="s">
        <v>49</v>
      </c>
      <c r="K48">
        <v>0.91700000000000004</v>
      </c>
      <c r="M48" t="s">
        <v>15</v>
      </c>
      <c r="N48">
        <v>0.55109489051094895</v>
      </c>
    </row>
    <row r="49" spans="1:14" x14ac:dyDescent="0.35">
      <c r="A49" t="s">
        <v>16</v>
      </c>
      <c r="B49">
        <v>0.93333333333333302</v>
      </c>
      <c r="D49" t="s">
        <v>30</v>
      </c>
      <c r="E49">
        <v>0.67700000000000005</v>
      </c>
      <c r="G49" t="s">
        <v>15</v>
      </c>
      <c r="H49">
        <v>0.3362</v>
      </c>
      <c r="J49" t="s">
        <v>50</v>
      </c>
      <c r="K49">
        <v>0.96899999999999997</v>
      </c>
      <c r="M49" t="s">
        <v>16</v>
      </c>
      <c r="N49">
        <v>0.87222222222222201</v>
      </c>
    </row>
    <row r="50" spans="1:14" x14ac:dyDescent="0.35">
      <c r="A50" t="s">
        <v>17</v>
      </c>
      <c r="B50">
        <v>0.54</v>
      </c>
      <c r="D50" t="s">
        <v>31</v>
      </c>
      <c r="E50">
        <v>0.83699999999999997</v>
      </c>
      <c r="G50" t="s">
        <v>17</v>
      </c>
      <c r="H50">
        <v>0.5</v>
      </c>
      <c r="J50" t="s">
        <v>51</v>
      </c>
      <c r="K50">
        <v>0.96199999999999997</v>
      </c>
      <c r="M50" t="s">
        <v>17</v>
      </c>
      <c r="N50">
        <v>0.5</v>
      </c>
    </row>
    <row r="51" spans="1:14" x14ac:dyDescent="0.35">
      <c r="A51" t="s">
        <v>18</v>
      </c>
      <c r="B51">
        <v>0.89444444444444404</v>
      </c>
      <c r="D51" t="s">
        <v>16</v>
      </c>
      <c r="E51">
        <v>0.84699999999999998</v>
      </c>
      <c r="G51" t="s">
        <v>18</v>
      </c>
      <c r="H51">
        <v>0.87780000000000002</v>
      </c>
      <c r="J51" t="s">
        <v>52</v>
      </c>
      <c r="K51">
        <v>0.72099999999999997</v>
      </c>
      <c r="M51" t="s">
        <v>18</v>
      </c>
      <c r="N51">
        <v>0.88333333333333297</v>
      </c>
    </row>
    <row r="52" spans="1:14" x14ac:dyDescent="0.35">
      <c r="A52" t="s">
        <v>19</v>
      </c>
      <c r="B52">
        <v>1</v>
      </c>
      <c r="D52" t="s">
        <v>15</v>
      </c>
      <c r="E52">
        <v>0.67299999999999904</v>
      </c>
      <c r="G52" t="s">
        <v>20</v>
      </c>
      <c r="H52">
        <v>0.62090000000000001</v>
      </c>
      <c r="J52" t="s">
        <v>53</v>
      </c>
      <c r="K52">
        <v>0.751</v>
      </c>
      <c r="M52" t="s">
        <v>19</v>
      </c>
      <c r="N52">
        <v>0.71098265895953705</v>
      </c>
    </row>
    <row r="53" spans="1:14" x14ac:dyDescent="0.35">
      <c r="A53" t="s">
        <v>20</v>
      </c>
      <c r="B53">
        <v>0.97913093196112</v>
      </c>
      <c r="D53" t="s">
        <v>17</v>
      </c>
      <c r="E53">
        <v>0.503</v>
      </c>
      <c r="G53" t="s">
        <v>19</v>
      </c>
      <c r="H53">
        <v>0.36420000000000002</v>
      </c>
      <c r="J53" t="s">
        <v>54</v>
      </c>
      <c r="K53">
        <v>1</v>
      </c>
      <c r="M53" t="s">
        <v>20</v>
      </c>
      <c r="N53">
        <v>0.97712978845054299</v>
      </c>
    </row>
    <row r="54" spans="1:14" x14ac:dyDescent="0.35">
      <c r="A54" t="s">
        <v>21</v>
      </c>
      <c r="B54">
        <v>0.29048613182224797</v>
      </c>
      <c r="D54" t="s">
        <v>18</v>
      </c>
      <c r="E54">
        <v>0.83499999999999996</v>
      </c>
      <c r="G54" t="s">
        <v>21</v>
      </c>
      <c r="H54">
        <v>0.17859999999999901</v>
      </c>
      <c r="J54" t="s">
        <v>55</v>
      </c>
      <c r="K54">
        <v>0.77200000000000002</v>
      </c>
      <c r="M54" t="s">
        <v>21</v>
      </c>
      <c r="N54">
        <v>0.15120787354607801</v>
      </c>
    </row>
    <row r="55" spans="1:14" x14ac:dyDescent="0.35">
      <c r="A55" t="s">
        <v>22</v>
      </c>
      <c r="B55">
        <v>0.90789473684210498</v>
      </c>
      <c r="D55" t="s">
        <v>19</v>
      </c>
      <c r="E55">
        <v>0.999</v>
      </c>
      <c r="G55" t="s">
        <v>22</v>
      </c>
      <c r="H55">
        <v>0.84870000000000001</v>
      </c>
      <c r="J55" t="s">
        <v>4</v>
      </c>
      <c r="K55">
        <v>1</v>
      </c>
      <c r="M55" t="s">
        <v>22</v>
      </c>
      <c r="N55">
        <v>0.80263157894736803</v>
      </c>
    </row>
    <row r="56" spans="1:14" x14ac:dyDescent="0.35">
      <c r="A56" t="s">
        <v>23</v>
      </c>
      <c r="B56">
        <v>0.89078498293515296</v>
      </c>
      <c r="D56" t="s">
        <v>20</v>
      </c>
      <c r="E56">
        <v>0.95199999999999996</v>
      </c>
      <c r="G56" t="s">
        <v>23</v>
      </c>
      <c r="H56">
        <v>0.85670000000000002</v>
      </c>
      <c r="J56" t="s">
        <v>56</v>
      </c>
      <c r="K56">
        <v>0.82099999999999995</v>
      </c>
      <c r="M56" t="s">
        <v>23</v>
      </c>
      <c r="N56">
        <v>0.77474402730375402</v>
      </c>
    </row>
    <row r="57" spans="1:14" x14ac:dyDescent="0.35">
      <c r="A57" t="s">
        <v>24</v>
      </c>
      <c r="B57">
        <v>0.5</v>
      </c>
      <c r="D57" t="s">
        <v>21</v>
      </c>
      <c r="E57">
        <v>0.28399999999999997</v>
      </c>
      <c r="G57" t="s">
        <v>24</v>
      </c>
      <c r="H57">
        <v>0.4778</v>
      </c>
      <c r="J57" t="s">
        <v>57</v>
      </c>
      <c r="K57">
        <v>0.82099999999999995</v>
      </c>
      <c r="M57" t="s">
        <v>24</v>
      </c>
      <c r="N57">
        <v>0.53888888888888797</v>
      </c>
    </row>
    <row r="58" spans="1:14" x14ac:dyDescent="0.35">
      <c r="A58" t="s">
        <v>25</v>
      </c>
      <c r="B58">
        <v>0.46666666666666601</v>
      </c>
      <c r="D58" t="s">
        <v>22</v>
      </c>
      <c r="E58">
        <v>0.80599999999999905</v>
      </c>
      <c r="G58" t="s">
        <v>25</v>
      </c>
      <c r="H58">
        <v>0.4</v>
      </c>
      <c r="J58" t="s">
        <v>58</v>
      </c>
      <c r="K58">
        <v>0.83799999999999997</v>
      </c>
      <c r="M58" t="s">
        <v>25</v>
      </c>
      <c r="N58">
        <v>0.2</v>
      </c>
    </row>
    <row r="59" spans="1:14" x14ac:dyDescent="0.35">
      <c r="A59" t="s">
        <v>26</v>
      </c>
      <c r="B59">
        <v>0.92812499999999998</v>
      </c>
      <c r="D59" t="s">
        <v>23</v>
      </c>
      <c r="E59">
        <v>0.82</v>
      </c>
      <c r="G59" t="s">
        <v>26</v>
      </c>
      <c r="H59">
        <v>0.875</v>
      </c>
      <c r="J59" t="s">
        <v>59</v>
      </c>
      <c r="K59">
        <v>0.67800000000000005</v>
      </c>
      <c r="M59" t="s">
        <v>26</v>
      </c>
      <c r="N59">
        <v>0.90312499999999996</v>
      </c>
    </row>
    <row r="60" spans="1:14" x14ac:dyDescent="0.35">
      <c r="D60" t="s">
        <v>24</v>
      </c>
      <c r="E60">
        <v>0.41799999999999998</v>
      </c>
      <c r="J60" t="s">
        <v>60</v>
      </c>
      <c r="K60">
        <v>0.98</v>
      </c>
    </row>
    <row r="61" spans="1:14" x14ac:dyDescent="0.35">
      <c r="B61">
        <f>AVERAGE(B34:B59)</f>
        <v>0.74785265989416161</v>
      </c>
      <c r="D61" t="s">
        <v>32</v>
      </c>
      <c r="E61">
        <v>0.97599999999999998</v>
      </c>
      <c r="J61" t="s">
        <v>61</v>
      </c>
      <c r="K61">
        <v>0.77</v>
      </c>
      <c r="N61">
        <f>AVERAGE(N34:N59)</f>
        <v>0.65381177626973686</v>
      </c>
    </row>
    <row r="62" spans="1:14" x14ac:dyDescent="0.35">
      <c r="D62" t="s">
        <v>25</v>
      </c>
      <c r="E62">
        <v>0.36299999999999999</v>
      </c>
      <c r="J62" t="s">
        <v>62</v>
      </c>
      <c r="K62">
        <v>0.74299999999999999</v>
      </c>
    </row>
    <row r="63" spans="1:14" x14ac:dyDescent="0.35">
      <c r="D63" t="s">
        <v>26</v>
      </c>
      <c r="E63">
        <v>0.77500000000000002</v>
      </c>
      <c r="J63" t="s">
        <v>63</v>
      </c>
      <c r="K63">
        <v>0.71199999999999997</v>
      </c>
    </row>
    <row r="64" spans="1:14" x14ac:dyDescent="0.35">
      <c r="J64" t="s">
        <v>64</v>
      </c>
      <c r="K64">
        <v>0.53700000000000003</v>
      </c>
    </row>
    <row r="65" spans="10:11" x14ac:dyDescent="0.35">
      <c r="J65" t="s">
        <v>65</v>
      </c>
      <c r="K65">
        <v>0.85499999999999998</v>
      </c>
    </row>
    <row r="66" spans="10:11" x14ac:dyDescent="0.35">
      <c r="J66" t="s">
        <v>66</v>
      </c>
      <c r="K66">
        <v>0.97799999999999998</v>
      </c>
    </row>
    <row r="67" spans="10:11" x14ac:dyDescent="0.35">
      <c r="J67" t="s">
        <v>5</v>
      </c>
      <c r="K67">
        <v>0.44</v>
      </c>
    </row>
    <row r="68" spans="10:11" x14ac:dyDescent="0.35">
      <c r="J68" t="s">
        <v>67</v>
      </c>
      <c r="K68">
        <v>0.9</v>
      </c>
    </row>
    <row r="69" spans="10:11" x14ac:dyDescent="0.35">
      <c r="J69" t="s">
        <v>68</v>
      </c>
      <c r="K69">
        <v>0.94399999999999995</v>
      </c>
    </row>
    <row r="70" spans="10:11" x14ac:dyDescent="0.35">
      <c r="J70" t="s">
        <v>69</v>
      </c>
      <c r="K70">
        <v>1</v>
      </c>
    </row>
    <row r="71" spans="10:11" x14ac:dyDescent="0.35">
      <c r="J71" t="s">
        <v>70</v>
      </c>
      <c r="K71">
        <v>0.61</v>
      </c>
    </row>
    <row r="72" spans="10:11" x14ac:dyDescent="0.35">
      <c r="J72" t="s">
        <v>71</v>
      </c>
      <c r="K72">
        <v>0.50600000000000001</v>
      </c>
    </row>
    <row r="73" spans="10:11" x14ac:dyDescent="0.35">
      <c r="J73" t="s">
        <v>6</v>
      </c>
      <c r="K73">
        <v>0.95199999999999996</v>
      </c>
    </row>
    <row r="74" spans="10:11" x14ac:dyDescent="0.35">
      <c r="J74" t="s">
        <v>72</v>
      </c>
      <c r="K74">
        <v>0.748</v>
      </c>
    </row>
    <row r="75" spans="10:11" x14ac:dyDescent="0.35">
      <c r="J75" t="s">
        <v>7</v>
      </c>
      <c r="K75">
        <v>0.87</v>
      </c>
    </row>
    <row r="76" spans="10:11" x14ac:dyDescent="0.35">
      <c r="J76" t="s">
        <v>73</v>
      </c>
      <c r="K76">
        <v>0.75700000000000001</v>
      </c>
    </row>
    <row r="77" spans="10:11" x14ac:dyDescent="0.35">
      <c r="J77" t="s">
        <v>8</v>
      </c>
      <c r="K77">
        <v>0.99299999999999999</v>
      </c>
    </row>
    <row r="78" spans="10:11" x14ac:dyDescent="0.35">
      <c r="J78" t="s">
        <v>9</v>
      </c>
      <c r="K78">
        <v>0.36899999999999999</v>
      </c>
    </row>
    <row r="79" spans="10:11" x14ac:dyDescent="0.35">
      <c r="J79" t="s">
        <v>74</v>
      </c>
      <c r="K79">
        <v>0.50800000000000001</v>
      </c>
    </row>
    <row r="80" spans="10:11" x14ac:dyDescent="0.35">
      <c r="J80" t="s">
        <v>75</v>
      </c>
      <c r="K80">
        <v>0.80200000000000005</v>
      </c>
    </row>
    <row r="81" spans="10:11" x14ac:dyDescent="0.35">
      <c r="J81" t="s">
        <v>10</v>
      </c>
      <c r="K81">
        <v>0.58899999999999997</v>
      </c>
    </row>
    <row r="82" spans="10:11" x14ac:dyDescent="0.35">
      <c r="J82" t="s">
        <v>76</v>
      </c>
      <c r="K82">
        <v>1</v>
      </c>
    </row>
    <row r="83" spans="10:11" x14ac:dyDescent="0.35">
      <c r="J83" t="s">
        <v>77</v>
      </c>
      <c r="K83">
        <v>0.94199999999999995</v>
      </c>
    </row>
    <row r="84" spans="10:11" x14ac:dyDescent="0.35">
      <c r="J84" t="s">
        <v>78</v>
      </c>
      <c r="K84">
        <v>0.73</v>
      </c>
    </row>
    <row r="85" spans="10:11" x14ac:dyDescent="0.35">
      <c r="J85" t="s">
        <v>11</v>
      </c>
      <c r="K85">
        <v>0.56000000000000005</v>
      </c>
    </row>
    <row r="86" spans="10:11" x14ac:dyDescent="0.35">
      <c r="J86" t="s">
        <v>79</v>
      </c>
      <c r="K86">
        <v>0.96599999999999997</v>
      </c>
    </row>
    <row r="87" spans="10:11" x14ac:dyDescent="0.35">
      <c r="J87" t="s">
        <v>80</v>
      </c>
      <c r="K87">
        <v>0.93700000000000006</v>
      </c>
    </row>
    <row r="88" spans="10:11" x14ac:dyDescent="0.35">
      <c r="J88" t="s">
        <v>81</v>
      </c>
      <c r="K88">
        <v>0.80100000000000005</v>
      </c>
    </row>
    <row r="89" spans="10:11" x14ac:dyDescent="0.35">
      <c r="J89" t="s">
        <v>82</v>
      </c>
      <c r="K89">
        <v>0.998</v>
      </c>
    </row>
    <row r="90" spans="10:11" x14ac:dyDescent="0.35">
      <c r="J90" t="s">
        <v>83</v>
      </c>
      <c r="K90">
        <v>0.99099999999999999</v>
      </c>
    </row>
    <row r="91" spans="10:11" x14ac:dyDescent="0.35">
      <c r="J91" t="s">
        <v>84</v>
      </c>
      <c r="K91">
        <v>1</v>
      </c>
    </row>
    <row r="92" spans="10:11" x14ac:dyDescent="0.35">
      <c r="J92" t="s">
        <v>85</v>
      </c>
      <c r="K92">
        <v>0.746</v>
      </c>
    </row>
    <row r="93" spans="10:11" x14ac:dyDescent="0.35">
      <c r="J93" t="s">
        <v>86</v>
      </c>
      <c r="K93">
        <v>0.66200000000000003</v>
      </c>
    </row>
    <row r="94" spans="10:11" x14ac:dyDescent="0.35">
      <c r="J94" t="s">
        <v>87</v>
      </c>
      <c r="K94">
        <v>0.46899999999999997</v>
      </c>
    </row>
    <row r="95" spans="10:11" x14ac:dyDescent="0.35">
      <c r="J95" t="s">
        <v>88</v>
      </c>
      <c r="K95">
        <v>0.872</v>
      </c>
    </row>
    <row r="96" spans="10:11" x14ac:dyDescent="0.35">
      <c r="J96" t="s">
        <v>89</v>
      </c>
      <c r="K96">
        <v>0.873</v>
      </c>
    </row>
    <row r="97" spans="10:11" x14ac:dyDescent="0.35">
      <c r="J97" t="s">
        <v>90</v>
      </c>
      <c r="K97">
        <v>1</v>
      </c>
    </row>
    <row r="98" spans="10:11" x14ac:dyDescent="0.35">
      <c r="J98" t="s">
        <v>91</v>
      </c>
      <c r="K98">
        <v>0.98699999999999999</v>
      </c>
    </row>
    <row r="99" spans="10:11" x14ac:dyDescent="0.35">
      <c r="J99" t="s">
        <v>92</v>
      </c>
      <c r="K99">
        <v>1</v>
      </c>
    </row>
    <row r="100" spans="10:11" x14ac:dyDescent="0.35">
      <c r="J100" t="s">
        <v>93</v>
      </c>
      <c r="K100">
        <v>0.997</v>
      </c>
    </row>
    <row r="101" spans="10:11" x14ac:dyDescent="0.35">
      <c r="J101" t="s">
        <v>94</v>
      </c>
      <c r="K101">
        <v>0.74299999999999999</v>
      </c>
    </row>
    <row r="102" spans="10:11" x14ac:dyDescent="0.35">
      <c r="J102" t="s">
        <v>12</v>
      </c>
      <c r="K102">
        <v>0.28399999999999997</v>
      </c>
    </row>
    <row r="103" spans="10:11" x14ac:dyDescent="0.35">
      <c r="J103" t="s">
        <v>95</v>
      </c>
      <c r="K103">
        <v>0.93</v>
      </c>
    </row>
    <row r="104" spans="10:11" x14ac:dyDescent="0.35">
      <c r="J104" t="s">
        <v>13</v>
      </c>
      <c r="K104">
        <v>0.52</v>
      </c>
    </row>
    <row r="105" spans="10:11" x14ac:dyDescent="0.35">
      <c r="J105" t="s">
        <v>96</v>
      </c>
      <c r="K105">
        <v>0.48699999999999999</v>
      </c>
    </row>
    <row r="106" spans="10:11" x14ac:dyDescent="0.35">
      <c r="J106" t="s">
        <v>14</v>
      </c>
      <c r="K106">
        <v>0.74099999999999999</v>
      </c>
    </row>
    <row r="107" spans="10:11" x14ac:dyDescent="0.35">
      <c r="J107" t="s">
        <v>97</v>
      </c>
      <c r="K107">
        <v>0.60899999999999999</v>
      </c>
    </row>
    <row r="108" spans="10:11" x14ac:dyDescent="0.35">
      <c r="J108" t="s">
        <v>98</v>
      </c>
      <c r="K108">
        <v>0.99199999999999999</v>
      </c>
    </row>
    <row r="109" spans="10:11" x14ac:dyDescent="0.35">
      <c r="J109" t="s">
        <v>99</v>
      </c>
      <c r="K109">
        <v>0.40500000000000003</v>
      </c>
    </row>
    <row r="110" spans="10:11" x14ac:dyDescent="0.35">
      <c r="J110" t="s">
        <v>100</v>
      </c>
      <c r="K110">
        <v>0.98799999999999999</v>
      </c>
    </row>
    <row r="111" spans="10:11" x14ac:dyDescent="0.35">
      <c r="J111" t="s">
        <v>101</v>
      </c>
      <c r="K111">
        <v>0.92800000000000005</v>
      </c>
    </row>
    <row r="112" spans="10:11" x14ac:dyDescent="0.35">
      <c r="J112" t="s">
        <v>102</v>
      </c>
      <c r="K112">
        <v>0.51900000000000002</v>
      </c>
    </row>
    <row r="113" spans="10:11" x14ac:dyDescent="0.35">
      <c r="J113" t="s">
        <v>103</v>
      </c>
      <c r="K113">
        <v>0.63300000000000001</v>
      </c>
    </row>
    <row r="114" spans="10:11" x14ac:dyDescent="0.35">
      <c r="J114" t="s">
        <v>104</v>
      </c>
      <c r="K114">
        <v>0.95399999999999996</v>
      </c>
    </row>
    <row r="115" spans="10:11" x14ac:dyDescent="0.35">
      <c r="J115" t="s">
        <v>105</v>
      </c>
      <c r="K115">
        <v>0.79500000000000004</v>
      </c>
    </row>
    <row r="116" spans="10:11" x14ac:dyDescent="0.35">
      <c r="J116" t="s">
        <v>15</v>
      </c>
      <c r="K116">
        <v>0.60299999999999998</v>
      </c>
    </row>
    <row r="117" spans="10:11" x14ac:dyDescent="0.35">
      <c r="J117" t="s">
        <v>106</v>
      </c>
      <c r="K117">
        <v>0.92300000000000004</v>
      </c>
    </row>
    <row r="118" spans="10:11" x14ac:dyDescent="0.35">
      <c r="J118" t="s">
        <v>16</v>
      </c>
      <c r="K118">
        <v>0.84399999999999997</v>
      </c>
    </row>
    <row r="119" spans="10:11" x14ac:dyDescent="0.35">
      <c r="J119" t="s">
        <v>107</v>
      </c>
      <c r="K119">
        <v>0.80300000000000005</v>
      </c>
    </row>
    <row r="120" spans="10:11" x14ac:dyDescent="0.35">
      <c r="J120" t="s">
        <v>108</v>
      </c>
      <c r="K120">
        <v>0.79500000000000004</v>
      </c>
    </row>
    <row r="121" spans="10:11" x14ac:dyDescent="0.35">
      <c r="J121" t="s">
        <v>109</v>
      </c>
      <c r="K121">
        <v>0.93899999999999995</v>
      </c>
    </row>
    <row r="122" spans="10:11" x14ac:dyDescent="0.35">
      <c r="J122" t="s">
        <v>110</v>
      </c>
      <c r="K122">
        <v>0.85</v>
      </c>
    </row>
    <row r="123" spans="10:11" x14ac:dyDescent="0.35">
      <c r="J123" t="s">
        <v>111</v>
      </c>
      <c r="K123">
        <v>0.69599999999999995</v>
      </c>
    </row>
    <row r="124" spans="10:11" x14ac:dyDescent="0.35">
      <c r="J124" t="s">
        <v>112</v>
      </c>
      <c r="K124">
        <v>0.83599999999999997</v>
      </c>
    </row>
    <row r="125" spans="10:11" x14ac:dyDescent="0.35">
      <c r="J125" t="s">
        <v>113</v>
      </c>
      <c r="K125">
        <v>0.623</v>
      </c>
    </row>
    <row r="126" spans="10:11" x14ac:dyDescent="0.35">
      <c r="J126" t="s">
        <v>114</v>
      </c>
      <c r="K126">
        <v>0.75900000000000001</v>
      </c>
    </row>
    <row r="127" spans="10:11" x14ac:dyDescent="0.35">
      <c r="J127" t="s">
        <v>115</v>
      </c>
      <c r="K127">
        <v>0.59099999999999997</v>
      </c>
    </row>
    <row r="128" spans="10:11" x14ac:dyDescent="0.35">
      <c r="J128" t="s">
        <v>116</v>
      </c>
      <c r="K128">
        <v>0.95199999999999996</v>
      </c>
    </row>
    <row r="129" spans="10:11" x14ac:dyDescent="0.35">
      <c r="J129" t="s">
        <v>117</v>
      </c>
      <c r="K129">
        <v>0.92</v>
      </c>
    </row>
    <row r="130" spans="10:11" x14ac:dyDescent="0.35">
      <c r="J130" t="s">
        <v>118</v>
      </c>
      <c r="K130">
        <v>0.94599999999999995</v>
      </c>
    </row>
    <row r="131" spans="10:11" x14ac:dyDescent="0.35">
      <c r="J131" t="s">
        <v>17</v>
      </c>
      <c r="K131">
        <v>0.46</v>
      </c>
    </row>
    <row r="132" spans="10:11" x14ac:dyDescent="0.35">
      <c r="J132" t="s">
        <v>18</v>
      </c>
      <c r="K132">
        <v>0.91700000000000004</v>
      </c>
    </row>
    <row r="133" spans="10:11" x14ac:dyDescent="0.35">
      <c r="J133" t="s">
        <v>119</v>
      </c>
      <c r="K133">
        <v>0.90200000000000002</v>
      </c>
    </row>
    <row r="134" spans="10:11" x14ac:dyDescent="0.35">
      <c r="J134" t="s">
        <v>120</v>
      </c>
      <c r="K134">
        <v>0.91600000000000004</v>
      </c>
    </row>
    <row r="135" spans="10:11" x14ac:dyDescent="0.35">
      <c r="J135" t="s">
        <v>121</v>
      </c>
      <c r="K135">
        <v>0.95</v>
      </c>
    </row>
    <row r="136" spans="10:11" x14ac:dyDescent="0.35">
      <c r="J136" t="s">
        <v>122</v>
      </c>
      <c r="K136">
        <v>0.9</v>
      </c>
    </row>
    <row r="137" spans="10:11" x14ac:dyDescent="0.35">
      <c r="J137" t="s">
        <v>19</v>
      </c>
      <c r="K137">
        <v>0.90800000000000003</v>
      </c>
    </row>
    <row r="138" spans="10:11" x14ac:dyDescent="0.35">
      <c r="J138" t="s">
        <v>123</v>
      </c>
      <c r="K138">
        <v>0.88500000000000001</v>
      </c>
    </row>
    <row r="139" spans="10:11" x14ac:dyDescent="0.35">
      <c r="J139" t="s">
        <v>20</v>
      </c>
      <c r="K139">
        <v>0.92</v>
      </c>
    </row>
    <row r="140" spans="10:11" x14ac:dyDescent="0.35">
      <c r="J140" t="s">
        <v>124</v>
      </c>
      <c r="K140">
        <v>0.748</v>
      </c>
    </row>
    <row r="141" spans="10:11" x14ac:dyDescent="0.35">
      <c r="J141" t="s">
        <v>125</v>
      </c>
      <c r="K141">
        <v>0.317</v>
      </c>
    </row>
    <row r="142" spans="10:11" x14ac:dyDescent="0.35">
      <c r="J142" t="s">
        <v>21</v>
      </c>
      <c r="K142">
        <v>0.251</v>
      </c>
    </row>
    <row r="143" spans="10:11" x14ac:dyDescent="0.35">
      <c r="J143" t="s">
        <v>126</v>
      </c>
      <c r="K143">
        <v>0.7</v>
      </c>
    </row>
    <row r="144" spans="10:11" x14ac:dyDescent="0.35">
      <c r="J144" t="s">
        <v>127</v>
      </c>
      <c r="K144">
        <v>0.65900000000000003</v>
      </c>
    </row>
    <row r="145" spans="10:11" x14ac:dyDescent="0.35">
      <c r="J145" t="s">
        <v>128</v>
      </c>
      <c r="K145">
        <v>0.98599999999999999</v>
      </c>
    </row>
    <row r="146" spans="10:11" x14ac:dyDescent="0.35">
      <c r="J146" t="s">
        <v>129</v>
      </c>
      <c r="K146">
        <v>0.95199999999999996</v>
      </c>
    </row>
    <row r="147" spans="10:11" x14ac:dyDescent="0.35">
      <c r="J147" t="s">
        <v>130</v>
      </c>
      <c r="K147">
        <v>1</v>
      </c>
    </row>
    <row r="148" spans="10:11" x14ac:dyDescent="0.35">
      <c r="J148" t="s">
        <v>131</v>
      </c>
      <c r="K148">
        <v>0.88900000000000001</v>
      </c>
    </row>
    <row r="149" spans="10:11" x14ac:dyDescent="0.35">
      <c r="J149" t="s">
        <v>132</v>
      </c>
      <c r="K149">
        <v>0.84399999999999997</v>
      </c>
    </row>
    <row r="150" spans="10:11" x14ac:dyDescent="0.35">
      <c r="J150" t="s">
        <v>133</v>
      </c>
      <c r="K150">
        <v>0.85899999999999999</v>
      </c>
    </row>
    <row r="151" spans="10:11" x14ac:dyDescent="0.35">
      <c r="J151" t="s">
        <v>134</v>
      </c>
      <c r="K151">
        <v>0.8</v>
      </c>
    </row>
    <row r="152" spans="10:11" x14ac:dyDescent="0.35">
      <c r="J152" t="s">
        <v>22</v>
      </c>
      <c r="K152">
        <v>0.90800000000000003</v>
      </c>
    </row>
    <row r="153" spans="10:11" x14ac:dyDescent="0.35">
      <c r="J153" t="s">
        <v>135</v>
      </c>
      <c r="K153">
        <v>0.60799999999999998</v>
      </c>
    </row>
    <row r="154" spans="10:11" x14ac:dyDescent="0.35">
      <c r="J154" t="s">
        <v>136</v>
      </c>
      <c r="K154">
        <v>0.88</v>
      </c>
    </row>
    <row r="155" spans="10:11" x14ac:dyDescent="0.35">
      <c r="J155" t="s">
        <v>137</v>
      </c>
      <c r="K155">
        <v>0.51500000000000001</v>
      </c>
    </row>
    <row r="156" spans="10:11" x14ac:dyDescent="0.35">
      <c r="J156" t="s">
        <v>23</v>
      </c>
      <c r="K156">
        <v>0.75800000000000001</v>
      </c>
    </row>
    <row r="157" spans="10:11" x14ac:dyDescent="0.35">
      <c r="J157" t="s">
        <v>24</v>
      </c>
      <c r="K157">
        <v>0.47199999999999998</v>
      </c>
    </row>
    <row r="158" spans="10:11" x14ac:dyDescent="0.35">
      <c r="J158" t="s">
        <v>138</v>
      </c>
      <c r="K158">
        <v>0.89200000000000002</v>
      </c>
    </row>
    <row r="159" spans="10:11" x14ac:dyDescent="0.35">
      <c r="J159" t="s">
        <v>139</v>
      </c>
      <c r="K159">
        <v>0.63800000000000001</v>
      </c>
    </row>
    <row r="160" spans="10:11" x14ac:dyDescent="0.35">
      <c r="J160" t="s">
        <v>140</v>
      </c>
      <c r="K160">
        <v>0.86699999999999999</v>
      </c>
    </row>
    <row r="161" spans="10:11" x14ac:dyDescent="0.35">
      <c r="J161" t="s">
        <v>141</v>
      </c>
      <c r="K161">
        <v>0.82</v>
      </c>
    </row>
    <row r="162" spans="10:11" x14ac:dyDescent="0.35">
      <c r="J162" t="s">
        <v>142</v>
      </c>
      <c r="K162">
        <v>1</v>
      </c>
    </row>
    <row r="163" spans="10:11" x14ac:dyDescent="0.35">
      <c r="J163" t="s">
        <v>143</v>
      </c>
      <c r="K163">
        <v>0.89700000000000002</v>
      </c>
    </row>
    <row r="164" spans="10:11" x14ac:dyDescent="0.35">
      <c r="J164" t="s">
        <v>144</v>
      </c>
      <c r="K164">
        <v>0.75700000000000001</v>
      </c>
    </row>
    <row r="165" spans="10:11" x14ac:dyDescent="0.35">
      <c r="J165" t="s">
        <v>145</v>
      </c>
      <c r="K165">
        <v>0.88</v>
      </c>
    </row>
    <row r="166" spans="10:11" x14ac:dyDescent="0.35">
      <c r="J166" t="s">
        <v>146</v>
      </c>
      <c r="K166">
        <v>0.75900000000000001</v>
      </c>
    </row>
    <row r="167" spans="10:11" x14ac:dyDescent="0.35">
      <c r="J167" t="s">
        <v>147</v>
      </c>
      <c r="K167">
        <v>0.93500000000000005</v>
      </c>
    </row>
    <row r="168" spans="10:11" x14ac:dyDescent="0.35">
      <c r="J168" t="s">
        <v>148</v>
      </c>
      <c r="K168">
        <v>0.98599999999999999</v>
      </c>
    </row>
    <row r="169" spans="10:11" x14ac:dyDescent="0.35">
      <c r="J169" t="s">
        <v>25</v>
      </c>
      <c r="K169">
        <v>0.4</v>
      </c>
    </row>
    <row r="170" spans="10:11" x14ac:dyDescent="0.35">
      <c r="J170" t="s">
        <v>149</v>
      </c>
      <c r="K170">
        <v>0.97599999999999998</v>
      </c>
    </row>
    <row r="171" spans="10:11" x14ac:dyDescent="0.35">
      <c r="J171" t="s">
        <v>150</v>
      </c>
      <c r="K171">
        <v>0.96799999999999997</v>
      </c>
    </row>
    <row r="172" spans="10:11" x14ac:dyDescent="0.35">
      <c r="J172" t="s">
        <v>151</v>
      </c>
      <c r="K172">
        <v>0.92600000000000005</v>
      </c>
    </row>
    <row r="173" spans="10:11" x14ac:dyDescent="0.35">
      <c r="J173" t="s">
        <v>152</v>
      </c>
      <c r="K173">
        <v>0.95599999999999996</v>
      </c>
    </row>
    <row r="174" spans="10:11" x14ac:dyDescent="0.35">
      <c r="J174" t="s">
        <v>153</v>
      </c>
      <c r="K174">
        <v>0.97699999999999998</v>
      </c>
    </row>
    <row r="175" spans="10:11" x14ac:dyDescent="0.35">
      <c r="J175" t="s">
        <v>154</v>
      </c>
      <c r="K175">
        <v>0.96899999999999997</v>
      </c>
    </row>
    <row r="176" spans="10:11" x14ac:dyDescent="0.35">
      <c r="J176" t="s">
        <v>155</v>
      </c>
      <c r="K176">
        <v>0.92300000000000004</v>
      </c>
    </row>
    <row r="177" spans="10:11" x14ac:dyDescent="0.35">
      <c r="J177" t="s">
        <v>156</v>
      </c>
      <c r="K177">
        <v>1</v>
      </c>
    </row>
    <row r="178" spans="10:11" x14ac:dyDescent="0.35">
      <c r="J178" t="s">
        <v>157</v>
      </c>
      <c r="K178">
        <v>0.999</v>
      </c>
    </row>
    <row r="179" spans="10:11" x14ac:dyDescent="0.35">
      <c r="J179" t="s">
        <v>158</v>
      </c>
      <c r="K179">
        <v>0.995</v>
      </c>
    </row>
    <row r="180" spans="10:11" x14ac:dyDescent="0.35">
      <c r="J180" t="s">
        <v>159</v>
      </c>
      <c r="K180">
        <v>0.99299999999999999</v>
      </c>
    </row>
    <row r="181" spans="10:11" x14ac:dyDescent="0.35">
      <c r="J181" t="s">
        <v>26</v>
      </c>
      <c r="K181">
        <v>0.94399999999999995</v>
      </c>
    </row>
    <row r="182" spans="10:11" x14ac:dyDescent="0.35">
      <c r="J182" t="s">
        <v>160</v>
      </c>
      <c r="K182">
        <v>0.94</v>
      </c>
    </row>
    <row r="183" spans="10:11" x14ac:dyDescent="0.35">
      <c r="J183" t="s">
        <v>161</v>
      </c>
      <c r="K183">
        <v>0.81100000000000005</v>
      </c>
    </row>
    <row r="184" spans="10:11" x14ac:dyDescent="0.35">
      <c r="J184" t="s">
        <v>162</v>
      </c>
      <c r="K184">
        <v>0.73099999999999998</v>
      </c>
    </row>
    <row r="185" spans="10:11" x14ac:dyDescent="0.35">
      <c r="J185" t="s">
        <v>163</v>
      </c>
      <c r="K185">
        <v>0.748</v>
      </c>
    </row>
    <row r="186" spans="10:11" x14ac:dyDescent="0.35">
      <c r="J186" t="s">
        <v>164</v>
      </c>
      <c r="K186">
        <v>1</v>
      </c>
    </row>
    <row r="187" spans="10:11" x14ac:dyDescent="0.35">
      <c r="J187" t="s">
        <v>165</v>
      </c>
      <c r="K187">
        <v>0.64800000000000002</v>
      </c>
    </row>
    <row r="188" spans="10:11" x14ac:dyDescent="0.35">
      <c r="J188" t="s">
        <v>166</v>
      </c>
      <c r="K188">
        <v>0.65400000000000003</v>
      </c>
    </row>
    <row r="189" spans="10:11" x14ac:dyDescent="0.35">
      <c r="J189" t="s">
        <v>167</v>
      </c>
      <c r="K189">
        <v>0.68799999999999994</v>
      </c>
    </row>
    <row r="190" spans="10:11" x14ac:dyDescent="0.35">
      <c r="J190" t="s">
        <v>168</v>
      </c>
      <c r="K190">
        <v>0.72699999999999998</v>
      </c>
    </row>
    <row r="191" spans="10:11" x14ac:dyDescent="0.35">
      <c r="J191" t="s">
        <v>169</v>
      </c>
      <c r="K191">
        <v>0.85699999999999998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FE79-BA42-440C-BB89-A00B7B43082B}">
  <dimension ref="A1:G63"/>
  <sheetViews>
    <sheetView workbookViewId="0">
      <selection sqref="A1:D27"/>
    </sheetView>
  </sheetViews>
  <sheetFormatPr defaultRowHeight="14.5" x14ac:dyDescent="0.35"/>
  <cols>
    <col min="1" max="1" width="23.54296875" bestFit="1" customWidth="1"/>
  </cols>
  <sheetData>
    <row r="1" spans="1:4" x14ac:dyDescent="0.35">
      <c r="B1" t="s">
        <v>181</v>
      </c>
      <c r="C1" t="s">
        <v>182</v>
      </c>
      <c r="D1" t="s">
        <v>186</v>
      </c>
    </row>
    <row r="2" spans="1:4" x14ac:dyDescent="0.35">
      <c r="A2" t="s">
        <v>1</v>
      </c>
      <c r="B2">
        <f>ROUND(VLOOKUP($A2,$A$34:$G$64,2,FALSE)/100,3)</f>
        <v>0.98399999999999999</v>
      </c>
      <c r="C2">
        <f>ROUND(VLOOKUP($A2,$A$34:$G$64,3,FALSE)/100,3)</f>
        <v>0.98299999999999998</v>
      </c>
      <c r="D2">
        <f>ROUND(VLOOKUP($A2,$A$34:$G$64,7,FALSE)/100,3)</f>
        <v>0.97299999999999998</v>
      </c>
    </row>
    <row r="3" spans="1:4" x14ac:dyDescent="0.35">
      <c r="A3" t="s">
        <v>2</v>
      </c>
      <c r="B3">
        <f t="shared" ref="B3:B27" si="0">ROUND(VLOOKUP($A3,$A$34:$G$64,2,FALSE)/100,3)</f>
        <v>0.375</v>
      </c>
      <c r="C3">
        <f t="shared" ref="C3:C27" si="1">ROUND(VLOOKUP($A3,$A$34:$G$64,3,FALSE)/100,3)</f>
        <v>0.46700000000000003</v>
      </c>
      <c r="D3">
        <f t="shared" ref="D3:D27" si="2">ROUND(VLOOKUP($A3,$A$34:$G$64,7,FALSE)/100,3)</f>
        <v>0.13300000000000001</v>
      </c>
    </row>
    <row r="4" spans="1:4" x14ac:dyDescent="0.35">
      <c r="A4" t="s">
        <v>3</v>
      </c>
      <c r="B4">
        <f t="shared" si="0"/>
        <v>1</v>
      </c>
      <c r="C4">
        <f t="shared" si="1"/>
        <v>1</v>
      </c>
      <c r="D4">
        <f t="shared" si="2"/>
        <v>1</v>
      </c>
    </row>
    <row r="5" spans="1:4" x14ac:dyDescent="0.35">
      <c r="A5" t="s">
        <v>4</v>
      </c>
      <c r="B5">
        <f t="shared" si="0"/>
        <v>0.999</v>
      </c>
      <c r="C5">
        <f t="shared" si="1"/>
        <v>1</v>
      </c>
      <c r="D5">
        <f t="shared" si="2"/>
        <v>0.98599999999999999</v>
      </c>
    </row>
    <row r="6" spans="1:4" x14ac:dyDescent="0.35">
      <c r="A6" t="s">
        <v>5</v>
      </c>
      <c r="B6">
        <f t="shared" si="0"/>
        <v>0.64400000000000002</v>
      </c>
      <c r="C6">
        <f t="shared" si="1"/>
        <v>0.7</v>
      </c>
      <c r="D6">
        <f t="shared" si="2"/>
        <v>0.18</v>
      </c>
    </row>
    <row r="7" spans="1:4" x14ac:dyDescent="0.35">
      <c r="A7" t="s">
        <v>6</v>
      </c>
      <c r="B7">
        <f t="shared" si="0"/>
        <v>0.96399999999999997</v>
      </c>
      <c r="C7">
        <f t="shared" si="1"/>
        <v>0.13300000000000001</v>
      </c>
      <c r="D7">
        <f t="shared" si="2"/>
        <v>0.84399999999999997</v>
      </c>
    </row>
    <row r="8" spans="1:4" x14ac:dyDescent="0.35">
      <c r="A8" t="s">
        <v>7</v>
      </c>
      <c r="B8">
        <f t="shared" si="0"/>
        <v>0.59299999999999997</v>
      </c>
      <c r="C8">
        <f t="shared" si="1"/>
        <v>0.435</v>
      </c>
      <c r="D8">
        <f t="shared" si="2"/>
        <v>0.93899999999999995</v>
      </c>
    </row>
    <row r="9" spans="1:4" x14ac:dyDescent="0.35">
      <c r="A9" t="s">
        <v>8</v>
      </c>
      <c r="B9">
        <f t="shared" si="0"/>
        <v>0.98899999999999999</v>
      </c>
      <c r="C9">
        <f t="shared" si="1"/>
        <v>0.99299999999999999</v>
      </c>
      <c r="D9">
        <f t="shared" si="2"/>
        <v>0.99299999999999999</v>
      </c>
    </row>
    <row r="10" spans="1:4" x14ac:dyDescent="0.35">
      <c r="A10" t="s">
        <v>9</v>
      </c>
      <c r="B10">
        <f t="shared" si="0"/>
        <v>0.309</v>
      </c>
      <c r="C10">
        <f t="shared" si="1"/>
        <v>0.34599999999999997</v>
      </c>
      <c r="D10">
        <f t="shared" si="2"/>
        <v>0.69199999999999995</v>
      </c>
    </row>
    <row r="11" spans="1:4" x14ac:dyDescent="0.35">
      <c r="A11" t="s">
        <v>10</v>
      </c>
      <c r="B11">
        <f t="shared" si="0"/>
        <v>0.56699999999999995</v>
      </c>
      <c r="C11">
        <f t="shared" si="1"/>
        <v>0.63900000000000001</v>
      </c>
      <c r="D11">
        <f t="shared" si="2"/>
        <v>0.61</v>
      </c>
    </row>
    <row r="12" spans="1:4" x14ac:dyDescent="0.35">
      <c r="A12" t="s">
        <v>11</v>
      </c>
      <c r="B12">
        <f t="shared" si="0"/>
        <v>0.60399999999999998</v>
      </c>
      <c r="C12">
        <f t="shared" si="1"/>
        <v>0.6</v>
      </c>
      <c r="D12">
        <f t="shared" si="2"/>
        <v>0.56000000000000005</v>
      </c>
    </row>
    <row r="13" spans="1:4" x14ac:dyDescent="0.35">
      <c r="A13" t="s">
        <v>12</v>
      </c>
      <c r="B13">
        <f t="shared" si="0"/>
        <v>0.32400000000000001</v>
      </c>
      <c r="C13">
        <f t="shared" si="1"/>
        <v>0.44600000000000001</v>
      </c>
      <c r="D13">
        <f t="shared" si="2"/>
        <v>0.35099999999999998</v>
      </c>
    </row>
    <row r="14" spans="1:4" x14ac:dyDescent="0.35">
      <c r="A14" t="s">
        <v>13</v>
      </c>
      <c r="B14">
        <f t="shared" si="0"/>
        <v>0.32100000000000001</v>
      </c>
      <c r="C14">
        <f t="shared" si="1"/>
        <v>0.41199999999999998</v>
      </c>
      <c r="D14">
        <f t="shared" si="2"/>
        <v>0.4</v>
      </c>
    </row>
    <row r="15" spans="1:4" x14ac:dyDescent="0.35">
      <c r="A15" t="s">
        <v>14</v>
      </c>
      <c r="B15">
        <f t="shared" si="0"/>
        <v>0.75900000000000001</v>
      </c>
      <c r="C15">
        <f t="shared" si="1"/>
        <v>0.77600000000000002</v>
      </c>
      <c r="D15">
        <f t="shared" si="2"/>
        <v>0.61499999999999999</v>
      </c>
    </row>
    <row r="16" spans="1:4" x14ac:dyDescent="0.35">
      <c r="A16" t="s">
        <v>15</v>
      </c>
      <c r="B16">
        <f t="shared" si="0"/>
        <v>0.54700000000000004</v>
      </c>
      <c r="C16">
        <f t="shared" si="1"/>
        <v>0.61199999999999999</v>
      </c>
      <c r="D16">
        <f t="shared" si="2"/>
        <v>0.66400000000000003</v>
      </c>
    </row>
    <row r="17" spans="1:4" x14ac:dyDescent="0.35">
      <c r="A17" t="s">
        <v>16</v>
      </c>
      <c r="B17">
        <f t="shared" si="0"/>
        <v>0.91600000000000004</v>
      </c>
      <c r="C17">
        <f t="shared" si="1"/>
        <v>0.84399999999999997</v>
      </c>
      <c r="D17">
        <f t="shared" si="2"/>
        <v>0.89400000000000002</v>
      </c>
    </row>
    <row r="18" spans="1:4" x14ac:dyDescent="0.35">
      <c r="A18" t="s">
        <v>17</v>
      </c>
      <c r="B18">
        <f t="shared" si="0"/>
        <v>0.56899999999999995</v>
      </c>
      <c r="C18">
        <f t="shared" si="1"/>
        <v>0.54</v>
      </c>
      <c r="D18">
        <f t="shared" si="2"/>
        <v>0.53</v>
      </c>
    </row>
    <row r="19" spans="1:4" x14ac:dyDescent="0.35">
      <c r="A19" t="s">
        <v>18</v>
      </c>
      <c r="B19">
        <f t="shared" si="0"/>
        <v>0.96699999999999997</v>
      </c>
      <c r="C19">
        <f t="shared" si="1"/>
        <v>0.97799999999999998</v>
      </c>
      <c r="D19">
        <f t="shared" si="2"/>
        <v>0.9</v>
      </c>
    </row>
    <row r="20" spans="1:4" x14ac:dyDescent="0.35">
      <c r="A20" t="s">
        <v>19</v>
      </c>
      <c r="B20">
        <f t="shared" si="0"/>
        <v>0.81699999999999995</v>
      </c>
      <c r="C20">
        <f t="shared" si="1"/>
        <v>0.75700000000000001</v>
      </c>
      <c r="D20">
        <f t="shared" si="2"/>
        <v>0.79200000000000004</v>
      </c>
    </row>
    <row r="21" spans="1:4" x14ac:dyDescent="0.35">
      <c r="A21" t="s">
        <v>20</v>
      </c>
      <c r="B21">
        <f t="shared" si="0"/>
        <v>0.995</v>
      </c>
      <c r="C21">
        <f t="shared" si="1"/>
        <v>0.99099999999999999</v>
      </c>
      <c r="D21">
        <f t="shared" si="2"/>
        <v>0.98899999999999999</v>
      </c>
    </row>
    <row r="22" spans="1:4" x14ac:dyDescent="0.35">
      <c r="A22" t="s">
        <v>21</v>
      </c>
      <c r="B22">
        <f t="shared" si="0"/>
        <v>0.28199999999999997</v>
      </c>
      <c r="C22">
        <f t="shared" si="1"/>
        <v>0.22500000000000001</v>
      </c>
      <c r="D22">
        <f t="shared" si="2"/>
        <v>0.158</v>
      </c>
    </row>
    <row r="23" spans="1:4" x14ac:dyDescent="0.35">
      <c r="A23" t="s">
        <v>22</v>
      </c>
      <c r="B23">
        <f t="shared" si="0"/>
        <v>0.84599999999999997</v>
      </c>
      <c r="C23">
        <f t="shared" si="1"/>
        <v>0.89500000000000002</v>
      </c>
      <c r="D23">
        <f t="shared" si="2"/>
        <v>0.73699999999999999</v>
      </c>
    </row>
    <row r="24" spans="1:4" x14ac:dyDescent="0.35">
      <c r="A24" t="s">
        <v>23</v>
      </c>
      <c r="B24">
        <f t="shared" si="0"/>
        <v>0.90300000000000002</v>
      </c>
      <c r="C24">
        <f t="shared" si="1"/>
        <v>0.878</v>
      </c>
      <c r="D24">
        <f t="shared" si="2"/>
        <v>0.73</v>
      </c>
    </row>
    <row r="25" spans="1:4" x14ac:dyDescent="0.35">
      <c r="A25" t="s">
        <v>24</v>
      </c>
      <c r="B25">
        <f t="shared" si="0"/>
        <v>0.53800000000000003</v>
      </c>
      <c r="C25">
        <f t="shared" si="1"/>
        <v>0.54400000000000004</v>
      </c>
      <c r="D25">
        <f t="shared" si="2"/>
        <v>0.55000000000000004</v>
      </c>
    </row>
    <row r="26" spans="1:4" x14ac:dyDescent="0.35">
      <c r="A26" t="s">
        <v>25</v>
      </c>
      <c r="B26">
        <f t="shared" si="0"/>
        <v>0.436</v>
      </c>
      <c r="C26">
        <f t="shared" si="1"/>
        <v>0.4</v>
      </c>
      <c r="D26">
        <f t="shared" si="2"/>
        <v>0.66700000000000004</v>
      </c>
    </row>
    <row r="27" spans="1:4" x14ac:dyDescent="0.35">
      <c r="A27" t="s">
        <v>26</v>
      </c>
      <c r="B27">
        <f t="shared" si="0"/>
        <v>0.92400000000000004</v>
      </c>
      <c r="C27">
        <f t="shared" si="1"/>
        <v>0.89400000000000002</v>
      </c>
      <c r="D27">
        <f t="shared" si="2"/>
        <v>0.84699999999999998</v>
      </c>
    </row>
    <row r="29" spans="1:4" x14ac:dyDescent="0.35">
      <c r="B29">
        <f>AVERAGE(B2:B27)</f>
        <v>0.69892307692307676</v>
      </c>
      <c r="C29">
        <f t="shared" ref="C29:D29" si="3">AVERAGE(C2:C27)</f>
        <v>0.67261538461538428</v>
      </c>
      <c r="D29">
        <f t="shared" si="3"/>
        <v>0.68207692307692314</v>
      </c>
    </row>
    <row r="33" spans="1:7" x14ac:dyDescent="0.35">
      <c r="A33" t="s">
        <v>176</v>
      </c>
      <c r="B33" t="s">
        <v>181</v>
      </c>
      <c r="C33" t="s">
        <v>182</v>
      </c>
      <c r="D33" t="s">
        <v>183</v>
      </c>
      <c r="E33" t="s">
        <v>184</v>
      </c>
      <c r="F33" t="s">
        <v>185</v>
      </c>
      <c r="G33" t="s">
        <v>186</v>
      </c>
    </row>
    <row r="34" spans="1:7" x14ac:dyDescent="0.35">
      <c r="A34" t="s">
        <v>1</v>
      </c>
      <c r="B34">
        <v>98.44</v>
      </c>
      <c r="C34">
        <v>98.3</v>
      </c>
      <c r="D34">
        <v>99</v>
      </c>
      <c r="E34">
        <v>99.3</v>
      </c>
      <c r="F34">
        <v>99.3</v>
      </c>
      <c r="G34">
        <v>97.33</v>
      </c>
    </row>
    <row r="35" spans="1:7" x14ac:dyDescent="0.35">
      <c r="A35" t="s">
        <v>2</v>
      </c>
      <c r="B35">
        <v>37.479999999999997</v>
      </c>
      <c r="C35">
        <v>46.7</v>
      </c>
      <c r="D35">
        <v>46.7</v>
      </c>
      <c r="E35">
        <v>53.3</v>
      </c>
      <c r="F35">
        <v>46.7</v>
      </c>
      <c r="G35">
        <v>13.33</v>
      </c>
    </row>
    <row r="36" spans="1:7" x14ac:dyDescent="0.35">
      <c r="A36" t="s">
        <v>3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</row>
    <row r="37" spans="1:7" x14ac:dyDescent="0.35">
      <c r="A37" t="s">
        <v>29</v>
      </c>
      <c r="C37">
        <v>99.5</v>
      </c>
      <c r="D37">
        <v>99.9</v>
      </c>
      <c r="G37">
        <v>99.58</v>
      </c>
    </row>
    <row r="38" spans="1:7" x14ac:dyDescent="0.35">
      <c r="A38" t="s">
        <v>4</v>
      </c>
      <c r="B38">
        <v>99.91</v>
      </c>
      <c r="C38">
        <v>100</v>
      </c>
      <c r="D38">
        <v>100</v>
      </c>
      <c r="E38">
        <v>100</v>
      </c>
      <c r="F38">
        <v>100</v>
      </c>
      <c r="G38">
        <v>98.61</v>
      </c>
    </row>
    <row r="39" spans="1:7" x14ac:dyDescent="0.35">
      <c r="A39" t="s">
        <v>5</v>
      </c>
      <c r="B39">
        <v>64.400000000000006</v>
      </c>
      <c r="C39">
        <v>70</v>
      </c>
      <c r="D39">
        <v>74</v>
      </c>
      <c r="G39">
        <v>18</v>
      </c>
    </row>
    <row r="40" spans="1:7" x14ac:dyDescent="0.35">
      <c r="A40" t="s">
        <v>7</v>
      </c>
      <c r="B40">
        <v>59.34</v>
      </c>
      <c r="C40">
        <v>43.5</v>
      </c>
      <c r="D40">
        <v>95.4</v>
      </c>
      <c r="G40">
        <v>93.89</v>
      </c>
    </row>
    <row r="41" spans="1:7" x14ac:dyDescent="0.35">
      <c r="A41" t="s">
        <v>8</v>
      </c>
      <c r="B41">
        <v>98.87</v>
      </c>
      <c r="C41">
        <v>99.3</v>
      </c>
      <c r="D41">
        <v>97.8</v>
      </c>
      <c r="E41">
        <v>99.1</v>
      </c>
      <c r="F41">
        <v>100</v>
      </c>
      <c r="G41">
        <v>99.28</v>
      </c>
    </row>
    <row r="42" spans="1:7" x14ac:dyDescent="0.35">
      <c r="A42" t="s">
        <v>6</v>
      </c>
      <c r="B42">
        <v>96.39</v>
      </c>
      <c r="C42">
        <v>13.3</v>
      </c>
      <c r="D42">
        <v>94.8</v>
      </c>
      <c r="F42">
        <v>92.6</v>
      </c>
      <c r="G42">
        <v>84.44</v>
      </c>
    </row>
    <row r="43" spans="1:7" x14ac:dyDescent="0.35">
      <c r="A43" t="s">
        <v>9</v>
      </c>
      <c r="B43">
        <v>30.93</v>
      </c>
      <c r="C43">
        <v>34.6</v>
      </c>
      <c r="D43">
        <v>36.1</v>
      </c>
      <c r="E43">
        <v>36</v>
      </c>
      <c r="F43">
        <v>32.6</v>
      </c>
      <c r="G43">
        <v>69.2</v>
      </c>
    </row>
    <row r="44" spans="1:7" x14ac:dyDescent="0.35">
      <c r="A44" t="s">
        <v>10</v>
      </c>
      <c r="B44">
        <v>56.67</v>
      </c>
      <c r="C44">
        <v>63.9</v>
      </c>
      <c r="D44">
        <v>64.8</v>
      </c>
      <c r="E44">
        <v>65.099999999999994</v>
      </c>
      <c r="F44">
        <v>66.7</v>
      </c>
      <c r="G44">
        <v>61.01</v>
      </c>
    </row>
    <row r="45" spans="1:7" x14ac:dyDescent="0.35">
      <c r="A45" t="s">
        <v>11</v>
      </c>
      <c r="B45">
        <v>60.37</v>
      </c>
      <c r="C45">
        <v>60</v>
      </c>
      <c r="D45">
        <v>63</v>
      </c>
      <c r="E45">
        <v>63.8</v>
      </c>
      <c r="F45">
        <v>67</v>
      </c>
      <c r="G45">
        <v>56</v>
      </c>
    </row>
    <row r="46" spans="1:7" x14ac:dyDescent="0.35">
      <c r="A46" t="s">
        <v>12</v>
      </c>
      <c r="B46">
        <v>32.44</v>
      </c>
      <c r="C46">
        <v>44.6</v>
      </c>
      <c r="D46">
        <v>44.6</v>
      </c>
      <c r="E46">
        <v>54.1</v>
      </c>
      <c r="F46">
        <v>48.6</v>
      </c>
      <c r="G46">
        <v>35.14</v>
      </c>
    </row>
    <row r="47" spans="1:7" x14ac:dyDescent="0.35">
      <c r="A47" t="s">
        <v>13</v>
      </c>
      <c r="B47">
        <v>32.090000000000003</v>
      </c>
      <c r="C47">
        <v>41.2</v>
      </c>
      <c r="D47">
        <v>58.7</v>
      </c>
      <c r="E47">
        <v>57.5</v>
      </c>
      <c r="F47">
        <v>68.3</v>
      </c>
      <c r="G47">
        <v>40</v>
      </c>
    </row>
    <row r="48" spans="1:7" x14ac:dyDescent="0.35">
      <c r="A48" t="s">
        <v>14</v>
      </c>
      <c r="B48">
        <v>75.94</v>
      </c>
      <c r="C48">
        <v>77.599999999999994</v>
      </c>
      <c r="D48">
        <v>78</v>
      </c>
      <c r="E48">
        <v>77.599999999999994</v>
      </c>
      <c r="F48">
        <v>80.3</v>
      </c>
      <c r="G48">
        <v>61.46</v>
      </c>
    </row>
    <row r="49" spans="1:7" x14ac:dyDescent="0.35">
      <c r="A49" t="s">
        <v>30</v>
      </c>
      <c r="C49">
        <v>10.5</v>
      </c>
      <c r="D49">
        <v>69.5</v>
      </c>
      <c r="E49">
        <v>76.599999999999994</v>
      </c>
      <c r="G49">
        <v>61.72</v>
      </c>
    </row>
    <row r="50" spans="1:7" x14ac:dyDescent="0.35">
      <c r="A50" t="s">
        <v>31</v>
      </c>
      <c r="C50">
        <v>98.6</v>
      </c>
      <c r="D50">
        <v>99.2</v>
      </c>
      <c r="E50">
        <v>98.6</v>
      </c>
      <c r="F50">
        <v>99.2</v>
      </c>
      <c r="G50">
        <v>96.49</v>
      </c>
    </row>
    <row r="51" spans="1:7" x14ac:dyDescent="0.35">
      <c r="A51" t="s">
        <v>16</v>
      </c>
      <c r="B51">
        <v>91.62</v>
      </c>
      <c r="C51">
        <v>84.4</v>
      </c>
      <c r="D51">
        <v>90</v>
      </c>
      <c r="E51">
        <v>95.9</v>
      </c>
      <c r="F51">
        <v>96.1</v>
      </c>
      <c r="G51">
        <v>89.44</v>
      </c>
    </row>
    <row r="52" spans="1:7" x14ac:dyDescent="0.35">
      <c r="A52" t="s">
        <v>15</v>
      </c>
      <c r="B52">
        <v>54.7</v>
      </c>
      <c r="C52">
        <v>61.2</v>
      </c>
      <c r="D52">
        <v>65.2</v>
      </c>
      <c r="E52">
        <v>69.900000000000006</v>
      </c>
      <c r="F52">
        <v>43.8</v>
      </c>
      <c r="G52">
        <v>66.42</v>
      </c>
    </row>
    <row r="53" spans="1:7" x14ac:dyDescent="0.35">
      <c r="A53" t="s">
        <v>17</v>
      </c>
      <c r="B53">
        <v>56.94</v>
      </c>
      <c r="C53">
        <v>54</v>
      </c>
      <c r="D53">
        <v>65</v>
      </c>
      <c r="E53">
        <v>64.3</v>
      </c>
      <c r="G53">
        <v>53</v>
      </c>
    </row>
    <row r="54" spans="1:7" x14ac:dyDescent="0.35">
      <c r="A54" t="s">
        <v>18</v>
      </c>
      <c r="B54">
        <v>96.67</v>
      </c>
      <c r="C54">
        <v>97.8</v>
      </c>
      <c r="D54">
        <v>95.6</v>
      </c>
      <c r="E54">
        <v>98.4</v>
      </c>
      <c r="F54">
        <v>98.9</v>
      </c>
      <c r="G54">
        <v>90</v>
      </c>
    </row>
    <row r="55" spans="1:7" x14ac:dyDescent="0.35">
      <c r="A55" t="s">
        <v>20</v>
      </c>
      <c r="B55">
        <v>99.47</v>
      </c>
      <c r="C55">
        <v>99.1</v>
      </c>
      <c r="D55">
        <v>99.1</v>
      </c>
      <c r="E55">
        <v>98.8</v>
      </c>
      <c r="F55">
        <v>99.3</v>
      </c>
      <c r="G55">
        <v>98.86</v>
      </c>
    </row>
    <row r="56" spans="1:7" x14ac:dyDescent="0.35">
      <c r="A56" t="s">
        <v>19</v>
      </c>
      <c r="B56">
        <v>81.739999999999995</v>
      </c>
      <c r="C56">
        <v>75.7</v>
      </c>
      <c r="D56">
        <v>81.5</v>
      </c>
      <c r="F56">
        <v>89.6</v>
      </c>
      <c r="G56">
        <v>79.19</v>
      </c>
    </row>
    <row r="57" spans="1:7" x14ac:dyDescent="0.35">
      <c r="A57" t="s">
        <v>21</v>
      </c>
      <c r="B57">
        <v>28.21</v>
      </c>
      <c r="C57">
        <v>22.5</v>
      </c>
      <c r="D57">
        <v>32.6</v>
      </c>
      <c r="E57">
        <v>26.1</v>
      </c>
      <c r="F57">
        <v>35.5</v>
      </c>
      <c r="G57">
        <v>15.81</v>
      </c>
    </row>
    <row r="58" spans="1:7" x14ac:dyDescent="0.35">
      <c r="A58" t="s">
        <v>22</v>
      </c>
      <c r="B58">
        <v>84.61</v>
      </c>
      <c r="C58">
        <v>89.5</v>
      </c>
      <c r="D58">
        <v>92.1</v>
      </c>
      <c r="E58">
        <v>90.4</v>
      </c>
      <c r="F58">
        <v>92.8</v>
      </c>
      <c r="G58">
        <v>73.680000000000007</v>
      </c>
    </row>
    <row r="59" spans="1:7" x14ac:dyDescent="0.35">
      <c r="A59" t="s">
        <v>23</v>
      </c>
      <c r="B59">
        <v>90.33</v>
      </c>
      <c r="C59">
        <v>87.8</v>
      </c>
      <c r="D59">
        <v>87.7</v>
      </c>
      <c r="E59">
        <v>92.8</v>
      </c>
      <c r="F59">
        <v>92.8</v>
      </c>
      <c r="G59">
        <v>73.040000000000006</v>
      </c>
    </row>
    <row r="60" spans="1:7" x14ac:dyDescent="0.35">
      <c r="A60" t="s">
        <v>24</v>
      </c>
      <c r="B60">
        <v>53.76</v>
      </c>
      <c r="C60">
        <v>54.4</v>
      </c>
      <c r="D60">
        <v>59.4</v>
      </c>
      <c r="E60">
        <v>59.4</v>
      </c>
      <c r="F60">
        <v>59.6</v>
      </c>
      <c r="G60">
        <v>55</v>
      </c>
    </row>
    <row r="61" spans="1:7" x14ac:dyDescent="0.35">
      <c r="A61" t="s">
        <v>32</v>
      </c>
      <c r="C61">
        <v>99.5</v>
      </c>
      <c r="D61">
        <v>99.8</v>
      </c>
      <c r="E61">
        <v>99.7</v>
      </c>
      <c r="F61">
        <v>99.9</v>
      </c>
      <c r="G61">
        <v>98.59</v>
      </c>
    </row>
    <row r="62" spans="1:7" x14ac:dyDescent="0.35">
      <c r="A62" t="s">
        <v>25</v>
      </c>
      <c r="B62">
        <v>43.56</v>
      </c>
      <c r="C62">
        <v>40</v>
      </c>
      <c r="D62">
        <v>66.7</v>
      </c>
      <c r="E62">
        <v>43.3</v>
      </c>
      <c r="F62">
        <v>53.3</v>
      </c>
      <c r="G62">
        <v>66.67</v>
      </c>
    </row>
    <row r="63" spans="1:7" x14ac:dyDescent="0.35">
      <c r="A63" t="s">
        <v>26</v>
      </c>
      <c r="B63">
        <v>92.42</v>
      </c>
      <c r="C63">
        <v>89.4</v>
      </c>
      <c r="D63">
        <v>91.3</v>
      </c>
      <c r="E63">
        <v>93.2</v>
      </c>
      <c r="F63">
        <v>92.3</v>
      </c>
      <c r="G63">
        <v>84.68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5FB1-D2AF-4C38-9C0E-7C5BC0A3AEAD}">
  <dimension ref="A1:N31"/>
  <sheetViews>
    <sheetView workbookViewId="0">
      <selection sqref="A1:C27"/>
    </sheetView>
  </sheetViews>
  <sheetFormatPr defaultRowHeight="14.5" x14ac:dyDescent="0.35"/>
  <cols>
    <col min="1" max="1" width="23.54296875" bestFit="1" customWidth="1"/>
    <col min="12" max="12" width="23.54296875" bestFit="1" customWidth="1"/>
  </cols>
  <sheetData>
    <row r="1" spans="1:14" x14ac:dyDescent="0.35">
      <c r="B1" t="s">
        <v>187</v>
      </c>
      <c r="C1" t="s">
        <v>188</v>
      </c>
      <c r="L1" t="s">
        <v>176</v>
      </c>
      <c r="M1" t="s">
        <v>187</v>
      </c>
      <c r="N1" t="s">
        <v>188</v>
      </c>
    </row>
    <row r="2" spans="1:14" x14ac:dyDescent="0.35">
      <c r="A2" t="s">
        <v>1</v>
      </c>
      <c r="B2">
        <f>ROUND(VLOOKUP($A2,$L$2:$N$31,2,FALSE),3)</f>
        <v>0.98299999999999998</v>
      </c>
      <c r="C2">
        <f>ROUND(VLOOKUP($A2,$L$2:$N$31,3,FALSE),3)</f>
        <v>0.99299999999999999</v>
      </c>
      <c r="L2" t="s">
        <v>1</v>
      </c>
      <c r="M2">
        <v>0.98329999999999995</v>
      </c>
      <c r="N2">
        <v>0.99299999999999999</v>
      </c>
    </row>
    <row r="3" spans="1:14" x14ac:dyDescent="0.35">
      <c r="A3" t="s">
        <v>2</v>
      </c>
      <c r="B3">
        <f t="shared" ref="B3:B27" si="0">ROUND(VLOOKUP($A3,$L$2:$N$31,2,FALSE),3)</f>
        <v>0.4</v>
      </c>
      <c r="C3">
        <f t="shared" ref="C3:C27" si="1">ROUND(VLOOKUP($A3,$L$2:$N$31,3,FALSE),3)</f>
        <v>0.53300000000000003</v>
      </c>
      <c r="L3" t="s">
        <v>2</v>
      </c>
      <c r="M3">
        <v>0.4</v>
      </c>
      <c r="N3">
        <v>0.53300000000000003</v>
      </c>
    </row>
    <row r="4" spans="1:14" x14ac:dyDescent="0.35">
      <c r="A4" t="s">
        <v>3</v>
      </c>
      <c r="B4">
        <f t="shared" si="0"/>
        <v>1</v>
      </c>
      <c r="C4">
        <f t="shared" si="1"/>
        <v>1</v>
      </c>
      <c r="L4" t="s">
        <v>3</v>
      </c>
      <c r="M4">
        <v>1</v>
      </c>
      <c r="N4">
        <v>1</v>
      </c>
    </row>
    <row r="5" spans="1:14" x14ac:dyDescent="0.35">
      <c r="A5" t="s">
        <v>4</v>
      </c>
      <c r="B5">
        <f t="shared" si="0"/>
        <v>1</v>
      </c>
      <c r="C5">
        <f t="shared" si="1"/>
        <v>1</v>
      </c>
      <c r="L5" t="s">
        <v>29</v>
      </c>
      <c r="M5">
        <v>0.99219999999999997</v>
      </c>
      <c r="N5">
        <v>0.997</v>
      </c>
    </row>
    <row r="6" spans="1:14" x14ac:dyDescent="0.35">
      <c r="A6" t="s">
        <v>5</v>
      </c>
      <c r="B6">
        <f t="shared" si="0"/>
        <v>0.62</v>
      </c>
      <c r="C6">
        <f t="shared" si="1"/>
        <v>0.56999999999999995</v>
      </c>
      <c r="L6" t="s">
        <v>4</v>
      </c>
      <c r="M6">
        <v>1</v>
      </c>
      <c r="N6">
        <v>1</v>
      </c>
    </row>
    <row r="7" spans="1:14" x14ac:dyDescent="0.35">
      <c r="A7" t="s">
        <v>6</v>
      </c>
      <c r="B7">
        <f t="shared" si="0"/>
        <v>0.96299999999999997</v>
      </c>
      <c r="C7">
        <f t="shared" si="1"/>
        <v>0.95099999999999996</v>
      </c>
      <c r="L7" t="s">
        <v>5</v>
      </c>
      <c r="M7">
        <v>0.62</v>
      </c>
      <c r="N7">
        <v>0.56999999999999995</v>
      </c>
    </row>
    <row r="8" spans="1:14" x14ac:dyDescent="0.35">
      <c r="A8" t="s">
        <v>7</v>
      </c>
      <c r="B8">
        <f t="shared" si="0"/>
        <v>0.59299999999999997</v>
      </c>
      <c r="C8">
        <f t="shared" si="1"/>
        <v>0.55700000000000005</v>
      </c>
      <c r="L8" t="s">
        <v>7</v>
      </c>
      <c r="M8">
        <v>0.59340000000000004</v>
      </c>
      <c r="N8">
        <v>0.55700000000000005</v>
      </c>
    </row>
    <row r="9" spans="1:14" x14ac:dyDescent="0.35">
      <c r="A9" t="s">
        <v>8</v>
      </c>
      <c r="B9">
        <f t="shared" si="0"/>
        <v>0.98599999999999999</v>
      </c>
      <c r="C9">
        <f t="shared" si="1"/>
        <v>0.98499999999999999</v>
      </c>
      <c r="L9" t="s">
        <v>8</v>
      </c>
      <c r="M9">
        <v>0.98550000000000004</v>
      </c>
      <c r="N9">
        <v>0.98499999999999999</v>
      </c>
    </row>
    <row r="10" spans="1:14" x14ac:dyDescent="0.35">
      <c r="A10" t="s">
        <v>9</v>
      </c>
      <c r="B10">
        <f t="shared" si="0"/>
        <v>0.36099999999999999</v>
      </c>
      <c r="C10">
        <f t="shared" si="1"/>
        <v>0.623</v>
      </c>
      <c r="L10" t="s">
        <v>6</v>
      </c>
      <c r="M10">
        <v>0.96289999999999998</v>
      </c>
      <c r="N10">
        <v>0.95099999999999996</v>
      </c>
    </row>
    <row r="11" spans="1:14" x14ac:dyDescent="0.35">
      <c r="A11" t="s">
        <v>10</v>
      </c>
      <c r="B11">
        <f t="shared" si="0"/>
        <v>0.67200000000000004</v>
      </c>
      <c r="C11">
        <f t="shared" si="1"/>
        <v>0.68</v>
      </c>
      <c r="L11" t="s">
        <v>9</v>
      </c>
      <c r="M11">
        <v>0.36120000000000002</v>
      </c>
      <c r="N11">
        <v>0.623</v>
      </c>
    </row>
    <row r="12" spans="1:14" x14ac:dyDescent="0.35">
      <c r="A12" t="s">
        <v>11</v>
      </c>
      <c r="B12">
        <f t="shared" si="0"/>
        <v>0.56000000000000005</v>
      </c>
      <c r="C12">
        <f t="shared" si="1"/>
        <v>0.61399999999999999</v>
      </c>
      <c r="L12" t="s">
        <v>10</v>
      </c>
      <c r="M12">
        <v>0.67220000000000002</v>
      </c>
      <c r="N12">
        <v>0.68</v>
      </c>
    </row>
    <row r="13" spans="1:14" x14ac:dyDescent="0.35">
      <c r="A13" t="s">
        <v>12</v>
      </c>
      <c r="B13">
        <f t="shared" si="0"/>
        <v>0.40500000000000003</v>
      </c>
      <c r="C13">
        <f t="shared" si="1"/>
        <v>0.66200000000000003</v>
      </c>
      <c r="L13" t="s">
        <v>11</v>
      </c>
      <c r="M13">
        <v>0.56000000000000005</v>
      </c>
      <c r="N13">
        <v>0.61399999999999999</v>
      </c>
    </row>
    <row r="14" spans="1:14" x14ac:dyDescent="0.35">
      <c r="A14" t="s">
        <v>13</v>
      </c>
      <c r="B14">
        <f t="shared" si="0"/>
        <v>0.375</v>
      </c>
      <c r="C14">
        <f t="shared" si="1"/>
        <v>0.438</v>
      </c>
      <c r="L14" t="s">
        <v>12</v>
      </c>
      <c r="M14">
        <v>0.40539999999999998</v>
      </c>
      <c r="N14">
        <v>0.66200000000000003</v>
      </c>
    </row>
    <row r="15" spans="1:14" x14ac:dyDescent="0.35">
      <c r="A15" t="s">
        <v>14</v>
      </c>
      <c r="B15">
        <f t="shared" si="0"/>
        <v>0.78500000000000003</v>
      </c>
      <c r="C15">
        <f t="shared" si="1"/>
        <v>0.78500000000000003</v>
      </c>
      <c r="L15" t="s">
        <v>13</v>
      </c>
      <c r="M15">
        <v>0.37519999999999998</v>
      </c>
      <c r="N15">
        <v>0.438</v>
      </c>
    </row>
    <row r="16" spans="1:14" x14ac:dyDescent="0.35">
      <c r="A16" t="s">
        <v>15</v>
      </c>
      <c r="B16">
        <f t="shared" si="0"/>
        <v>0.61599999999999999</v>
      </c>
      <c r="C16">
        <f t="shared" si="1"/>
        <v>0.66800000000000004</v>
      </c>
      <c r="L16" t="s">
        <v>14</v>
      </c>
      <c r="M16">
        <v>0.7853</v>
      </c>
      <c r="N16">
        <v>0.78500000000000003</v>
      </c>
    </row>
    <row r="17" spans="1:14" x14ac:dyDescent="0.35">
      <c r="A17" t="s">
        <v>16</v>
      </c>
      <c r="B17">
        <f t="shared" si="0"/>
        <v>0.92800000000000005</v>
      </c>
      <c r="C17">
        <f t="shared" si="1"/>
        <v>0.88800000000000001</v>
      </c>
      <c r="L17" t="s">
        <v>30</v>
      </c>
      <c r="M17">
        <v>0.71319999999999995</v>
      </c>
      <c r="N17">
        <v>0.71599999999999997</v>
      </c>
    </row>
    <row r="18" spans="1:14" x14ac:dyDescent="0.35">
      <c r="A18" t="s">
        <v>17</v>
      </c>
      <c r="B18">
        <f t="shared" si="0"/>
        <v>0.56000000000000005</v>
      </c>
      <c r="C18">
        <f t="shared" si="1"/>
        <v>0.6</v>
      </c>
      <c r="L18" t="s">
        <v>31</v>
      </c>
      <c r="M18">
        <v>0.98909999999999998</v>
      </c>
      <c r="N18">
        <v>0.98899999999999999</v>
      </c>
    </row>
    <row r="19" spans="1:14" x14ac:dyDescent="0.35">
      <c r="A19" t="s">
        <v>18</v>
      </c>
      <c r="B19">
        <f t="shared" si="0"/>
        <v>0.94399999999999995</v>
      </c>
      <c r="C19">
        <f t="shared" si="1"/>
        <v>0.95</v>
      </c>
      <c r="L19" t="s">
        <v>16</v>
      </c>
      <c r="M19">
        <v>0.92769999999999997</v>
      </c>
      <c r="N19">
        <v>0.88800000000000001</v>
      </c>
    </row>
    <row r="20" spans="1:14" x14ac:dyDescent="0.35">
      <c r="A20" t="s">
        <v>19</v>
      </c>
      <c r="B20">
        <f t="shared" si="0"/>
        <v>0.82799999999999996</v>
      </c>
      <c r="C20">
        <f t="shared" si="1"/>
        <v>0.80400000000000005</v>
      </c>
      <c r="L20" t="s">
        <v>15</v>
      </c>
      <c r="M20">
        <v>0.61560000000000004</v>
      </c>
      <c r="N20">
        <v>0.66800000000000004</v>
      </c>
    </row>
    <row r="21" spans="1:14" x14ac:dyDescent="0.35">
      <c r="A21" t="s">
        <v>20</v>
      </c>
      <c r="B21">
        <f t="shared" si="0"/>
        <v>0.98699999999999999</v>
      </c>
      <c r="C21">
        <f t="shared" si="1"/>
        <v>0.99299999999999999</v>
      </c>
      <c r="L21" t="s">
        <v>17</v>
      </c>
      <c r="M21">
        <v>0.56000000000000005</v>
      </c>
      <c r="N21">
        <v>0.6</v>
      </c>
    </row>
    <row r="22" spans="1:14" x14ac:dyDescent="0.35">
      <c r="A22" t="s">
        <v>21</v>
      </c>
      <c r="B22">
        <f t="shared" si="0"/>
        <v>0.30599999999999999</v>
      </c>
      <c r="C22">
        <f t="shared" si="1"/>
        <v>0.26100000000000001</v>
      </c>
      <c r="L22" t="s">
        <v>18</v>
      </c>
      <c r="M22">
        <v>0.94440000000000002</v>
      </c>
      <c r="N22">
        <v>0.95</v>
      </c>
    </row>
    <row r="23" spans="1:14" x14ac:dyDescent="0.35">
      <c r="A23" t="s">
        <v>22</v>
      </c>
      <c r="B23">
        <f t="shared" si="0"/>
        <v>0.86199999999999999</v>
      </c>
      <c r="C23">
        <f t="shared" si="1"/>
        <v>0.88800000000000001</v>
      </c>
      <c r="L23" t="s">
        <v>19</v>
      </c>
      <c r="M23">
        <v>0.82840000000000003</v>
      </c>
      <c r="N23">
        <v>0.80400000000000005</v>
      </c>
    </row>
    <row r="24" spans="1:14" x14ac:dyDescent="0.35">
      <c r="A24" t="s">
        <v>23</v>
      </c>
      <c r="B24">
        <f t="shared" si="0"/>
        <v>0.91800000000000004</v>
      </c>
      <c r="C24">
        <f t="shared" si="1"/>
        <v>0.90400000000000003</v>
      </c>
      <c r="L24" t="s">
        <v>20</v>
      </c>
      <c r="M24">
        <v>0.98709999999999998</v>
      </c>
      <c r="N24">
        <v>0.99299999999999999</v>
      </c>
    </row>
    <row r="25" spans="1:14" x14ac:dyDescent="0.35">
      <c r="A25" t="s">
        <v>24</v>
      </c>
      <c r="B25">
        <f t="shared" si="0"/>
        <v>0.58299999999999996</v>
      </c>
      <c r="C25">
        <f t="shared" si="1"/>
        <v>0.61099999999999999</v>
      </c>
      <c r="L25" t="s">
        <v>21</v>
      </c>
      <c r="M25">
        <v>0.30620000000000003</v>
      </c>
      <c r="N25">
        <v>0.26100000000000001</v>
      </c>
    </row>
    <row r="26" spans="1:14" x14ac:dyDescent="0.35">
      <c r="A26" t="s">
        <v>25</v>
      </c>
      <c r="B26">
        <f t="shared" si="0"/>
        <v>0.33300000000000002</v>
      </c>
      <c r="C26">
        <f t="shared" si="1"/>
        <v>0.6</v>
      </c>
      <c r="L26" t="s">
        <v>22</v>
      </c>
      <c r="M26">
        <v>0.86180000000000001</v>
      </c>
      <c r="N26">
        <v>0.88800000000000001</v>
      </c>
    </row>
    <row r="27" spans="1:14" x14ac:dyDescent="0.35">
      <c r="A27" t="s">
        <v>26</v>
      </c>
      <c r="B27">
        <f>ROUND(VLOOKUP($A27,$L$2:$N$31,2,FALSE),3)</f>
        <v>0.89100000000000001</v>
      </c>
      <c r="C27">
        <f t="shared" si="1"/>
        <v>0.90300000000000002</v>
      </c>
      <c r="L27" t="s">
        <v>23</v>
      </c>
      <c r="M27">
        <v>0.91800000000000004</v>
      </c>
      <c r="N27">
        <v>0.90400000000000003</v>
      </c>
    </row>
    <row r="28" spans="1:14" x14ac:dyDescent="0.35">
      <c r="L28" t="s">
        <v>24</v>
      </c>
      <c r="M28">
        <v>0.58330000000000004</v>
      </c>
      <c r="N28">
        <v>0.61099999999999999</v>
      </c>
    </row>
    <row r="29" spans="1:14" x14ac:dyDescent="0.35">
      <c r="A29" t="s">
        <v>175</v>
      </c>
      <c r="B29">
        <f>AVERAGE(B2:B27)</f>
        <v>0.70996153846153831</v>
      </c>
      <c r="C29">
        <f>AVERAGE(C2:C27)</f>
        <v>0.74850000000000005</v>
      </c>
      <c r="L29" t="s">
        <v>32</v>
      </c>
      <c r="M29">
        <v>0.99450000000000005</v>
      </c>
      <c r="N29">
        <v>0.995</v>
      </c>
    </row>
    <row r="30" spans="1:14" x14ac:dyDescent="0.35">
      <c r="L30" t="s">
        <v>25</v>
      </c>
      <c r="M30">
        <v>0.33329999999999999</v>
      </c>
      <c r="N30">
        <v>0.6</v>
      </c>
    </row>
    <row r="31" spans="1:14" x14ac:dyDescent="0.35">
      <c r="L31" t="s">
        <v>26</v>
      </c>
      <c r="M31">
        <v>0.89059999999999995</v>
      </c>
      <c r="N31">
        <v>0.90300000000000002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3B97-2991-4EC2-9F78-C7C483915592}">
  <dimension ref="A1:P33"/>
  <sheetViews>
    <sheetView workbookViewId="0">
      <selection sqref="A1:C27"/>
    </sheetView>
  </sheetViews>
  <sheetFormatPr defaultRowHeight="14.5" x14ac:dyDescent="0.35"/>
  <cols>
    <col min="2" max="3" width="11.36328125" customWidth="1"/>
  </cols>
  <sheetData>
    <row r="1" spans="1:16" x14ac:dyDescent="0.35">
      <c r="B1" t="s">
        <v>177</v>
      </c>
      <c r="C1" t="s">
        <v>178</v>
      </c>
      <c r="N1" t="s">
        <v>176</v>
      </c>
      <c r="O1" t="s">
        <v>177</v>
      </c>
      <c r="P1" t="s">
        <v>178</v>
      </c>
    </row>
    <row r="2" spans="1:16" x14ac:dyDescent="0.35">
      <c r="A2" t="s">
        <v>1</v>
      </c>
      <c r="B2">
        <f>ROUND(VLOOKUP($A2,$N$2:$P$33,2,FALSE),3)</f>
        <v>0.99</v>
      </c>
      <c r="C2">
        <f>VLOOKUP($A2,$N$2:$P$33,3,FALSE)</f>
        <v>0.98699999999999999</v>
      </c>
      <c r="N2" t="s">
        <v>1</v>
      </c>
      <c r="O2">
        <v>0.99</v>
      </c>
      <c r="P2">
        <v>0.98699999999999999</v>
      </c>
    </row>
    <row r="3" spans="1:16" x14ac:dyDescent="0.35">
      <c r="A3" t="s">
        <v>2</v>
      </c>
      <c r="B3">
        <f t="shared" ref="B3:B27" si="0">ROUND(VLOOKUP($A3,$N$2:$P$33,2,FALSE),3)</f>
        <v>0.4</v>
      </c>
      <c r="C3">
        <f t="shared" ref="C3:C27" si="1">VLOOKUP($A3,$N$2:$P$33,3,FALSE)</f>
        <v>0.2</v>
      </c>
      <c r="N3" t="s">
        <v>2</v>
      </c>
      <c r="O3">
        <v>0.4</v>
      </c>
      <c r="P3">
        <v>0.2</v>
      </c>
    </row>
    <row r="4" spans="1:16" x14ac:dyDescent="0.35">
      <c r="A4" t="s">
        <v>3</v>
      </c>
      <c r="B4">
        <f t="shared" si="0"/>
        <v>1</v>
      </c>
      <c r="C4">
        <f t="shared" si="1"/>
        <v>0.97499999999999998</v>
      </c>
      <c r="N4" t="s">
        <v>3</v>
      </c>
      <c r="O4">
        <v>1</v>
      </c>
      <c r="P4">
        <v>0.97499999999999998</v>
      </c>
    </row>
    <row r="5" spans="1:16" x14ac:dyDescent="0.35">
      <c r="A5" t="s">
        <v>4</v>
      </c>
      <c r="B5">
        <f t="shared" si="0"/>
        <v>1</v>
      </c>
      <c r="C5">
        <f t="shared" si="1"/>
        <v>0.97199999999999998</v>
      </c>
      <c r="N5" t="s">
        <v>29</v>
      </c>
      <c r="O5">
        <v>0.99</v>
      </c>
      <c r="P5">
        <v>0.995</v>
      </c>
    </row>
    <row r="6" spans="1:16" x14ac:dyDescent="0.35">
      <c r="A6" t="s">
        <v>5</v>
      </c>
      <c r="B6">
        <f t="shared" si="0"/>
        <v>0.72</v>
      </c>
      <c r="C6">
        <f t="shared" si="1"/>
        <v>0.68</v>
      </c>
      <c r="N6" t="s">
        <v>4</v>
      </c>
      <c r="O6">
        <v>1</v>
      </c>
      <c r="P6">
        <v>0.97199999999999998</v>
      </c>
    </row>
    <row r="7" spans="1:16" x14ac:dyDescent="0.35">
      <c r="A7" t="s">
        <v>6</v>
      </c>
      <c r="B7">
        <f t="shared" si="0"/>
        <v>0.98499999999999999</v>
      </c>
      <c r="C7">
        <f t="shared" si="1"/>
        <v>0.874</v>
      </c>
      <c r="N7" t="s">
        <v>5</v>
      </c>
      <c r="O7">
        <v>0.72</v>
      </c>
      <c r="P7">
        <v>0.68</v>
      </c>
    </row>
    <row r="8" spans="1:16" x14ac:dyDescent="0.35">
      <c r="A8" t="s">
        <v>7</v>
      </c>
      <c r="B8">
        <f t="shared" si="0"/>
        <v>0.87</v>
      </c>
      <c r="C8">
        <f t="shared" si="1"/>
        <v>0.84699999999999998</v>
      </c>
      <c r="N8" t="s">
        <v>7</v>
      </c>
      <c r="O8">
        <v>0.87</v>
      </c>
      <c r="P8">
        <v>0.84699999999999998</v>
      </c>
    </row>
    <row r="9" spans="1:16" x14ac:dyDescent="0.35">
      <c r="A9" t="s">
        <v>8</v>
      </c>
      <c r="B9">
        <f t="shared" si="0"/>
        <v>0.97799999999999998</v>
      </c>
      <c r="C9">
        <f t="shared" si="1"/>
        <v>0.96399999999999997</v>
      </c>
      <c r="N9" t="s">
        <v>8</v>
      </c>
      <c r="O9">
        <v>0.97799999999999998</v>
      </c>
      <c r="P9">
        <v>0.96399999999999997</v>
      </c>
    </row>
    <row r="10" spans="1:16" x14ac:dyDescent="0.35">
      <c r="A10" t="s">
        <v>9</v>
      </c>
      <c r="B10">
        <f t="shared" si="0"/>
        <v>0.30399999999999999</v>
      </c>
      <c r="C10">
        <f t="shared" si="1"/>
        <v>0.308</v>
      </c>
      <c r="N10" t="s">
        <v>6</v>
      </c>
      <c r="O10">
        <v>0.98499999999999999</v>
      </c>
      <c r="P10">
        <v>0.874</v>
      </c>
    </row>
    <row r="11" spans="1:16" x14ac:dyDescent="0.35">
      <c r="A11" t="s">
        <v>10</v>
      </c>
      <c r="B11">
        <f t="shared" si="0"/>
        <v>0.60799999999999998</v>
      </c>
      <c r="C11">
        <f t="shared" si="1"/>
        <v>0.501</v>
      </c>
      <c r="N11" t="s">
        <v>9</v>
      </c>
      <c r="O11">
        <v>0.30399999999999999</v>
      </c>
      <c r="P11">
        <v>0.308</v>
      </c>
    </row>
    <row r="12" spans="1:16" x14ac:dyDescent="0.35">
      <c r="A12" t="s">
        <v>11</v>
      </c>
      <c r="B12">
        <f t="shared" si="0"/>
        <v>0.66</v>
      </c>
      <c r="C12">
        <f t="shared" si="1"/>
        <v>0.48</v>
      </c>
      <c r="N12" t="s">
        <v>10</v>
      </c>
      <c r="O12">
        <v>0.60799999999999998</v>
      </c>
      <c r="P12">
        <v>0.501</v>
      </c>
    </row>
    <row r="13" spans="1:16" x14ac:dyDescent="0.35">
      <c r="A13" t="s">
        <v>12</v>
      </c>
      <c r="B13">
        <f t="shared" si="0"/>
        <v>0.432</v>
      </c>
      <c r="C13">
        <f t="shared" si="1"/>
        <v>0.33800000000000002</v>
      </c>
      <c r="N13" t="s">
        <v>11</v>
      </c>
      <c r="O13">
        <v>0.66</v>
      </c>
      <c r="P13">
        <v>0.48</v>
      </c>
    </row>
    <row r="14" spans="1:16" x14ac:dyDescent="0.35">
      <c r="A14" t="s">
        <v>13</v>
      </c>
      <c r="B14">
        <f t="shared" si="0"/>
        <v>0.46200000000000002</v>
      </c>
      <c r="C14">
        <f t="shared" si="1"/>
        <v>0.51500000000000001</v>
      </c>
      <c r="N14" t="s">
        <v>12</v>
      </c>
      <c r="O14">
        <v>0.432</v>
      </c>
      <c r="P14">
        <v>0.33800000000000002</v>
      </c>
    </row>
    <row r="15" spans="1:16" x14ac:dyDescent="0.35">
      <c r="A15" t="s">
        <v>14</v>
      </c>
      <c r="B15">
        <f t="shared" si="0"/>
        <v>0.746</v>
      </c>
      <c r="C15">
        <f t="shared" si="1"/>
        <v>0.68300000000000005</v>
      </c>
      <c r="N15" t="s">
        <v>13</v>
      </c>
      <c r="O15">
        <v>0.46200000000000002</v>
      </c>
      <c r="P15">
        <v>0.51500000000000001</v>
      </c>
    </row>
    <row r="16" spans="1:16" x14ac:dyDescent="0.35">
      <c r="A16" t="s">
        <v>15</v>
      </c>
      <c r="B16">
        <f t="shared" si="0"/>
        <v>0.60199999999999998</v>
      </c>
      <c r="C16">
        <f t="shared" si="1"/>
        <v>0.53700000000000003</v>
      </c>
      <c r="N16" t="s">
        <v>14</v>
      </c>
      <c r="O16">
        <v>0.746</v>
      </c>
      <c r="P16">
        <v>0.68300000000000005</v>
      </c>
    </row>
    <row r="17" spans="1:16" x14ac:dyDescent="0.35">
      <c r="A17" t="s">
        <v>16</v>
      </c>
      <c r="B17">
        <f t="shared" si="0"/>
        <v>0.92200000000000004</v>
      </c>
      <c r="C17">
        <f t="shared" si="1"/>
        <v>0.86699999999999999</v>
      </c>
      <c r="N17" t="s">
        <v>31</v>
      </c>
      <c r="O17">
        <v>0.98899999999999999</v>
      </c>
      <c r="P17">
        <v>0.98399999999999999</v>
      </c>
    </row>
    <row r="18" spans="1:16" x14ac:dyDescent="0.35">
      <c r="A18" t="s">
        <v>17</v>
      </c>
      <c r="B18">
        <f t="shared" si="0"/>
        <v>0.68</v>
      </c>
      <c r="C18">
        <f t="shared" si="1"/>
        <v>0.51</v>
      </c>
      <c r="N18" t="s">
        <v>16</v>
      </c>
      <c r="O18">
        <v>0.92200000000000004</v>
      </c>
      <c r="P18">
        <v>0.86699999999999999</v>
      </c>
    </row>
    <row r="19" spans="1:16" x14ac:dyDescent="0.35">
      <c r="A19" t="s">
        <v>18</v>
      </c>
      <c r="B19">
        <f t="shared" si="0"/>
        <v>0.96099999999999997</v>
      </c>
      <c r="C19">
        <f t="shared" si="1"/>
        <v>0.92800000000000005</v>
      </c>
      <c r="N19" t="s">
        <v>15</v>
      </c>
      <c r="O19">
        <v>0.60199999999999998</v>
      </c>
      <c r="P19">
        <v>0.53700000000000003</v>
      </c>
    </row>
    <row r="20" spans="1:16" x14ac:dyDescent="0.35">
      <c r="A20" t="s">
        <v>19</v>
      </c>
      <c r="B20">
        <f t="shared" si="0"/>
        <v>0.82099999999999995</v>
      </c>
      <c r="C20">
        <f t="shared" si="1"/>
        <v>0.68200000000000005</v>
      </c>
      <c r="N20" t="s">
        <v>17</v>
      </c>
      <c r="O20">
        <v>0.68</v>
      </c>
      <c r="P20">
        <v>0.51</v>
      </c>
    </row>
    <row r="21" spans="1:16" x14ac:dyDescent="0.35">
      <c r="A21" t="s">
        <v>20</v>
      </c>
      <c r="B21">
        <f t="shared" si="0"/>
        <v>0.98899999999999999</v>
      </c>
      <c r="C21">
        <f t="shared" si="1"/>
        <v>0.98899999999999999</v>
      </c>
      <c r="N21" t="s">
        <v>18</v>
      </c>
      <c r="O21">
        <v>0.96099999999999997</v>
      </c>
      <c r="P21">
        <v>0.92800000000000005</v>
      </c>
    </row>
    <row r="22" spans="1:16" x14ac:dyDescent="0.35">
      <c r="A22" t="s">
        <v>21</v>
      </c>
      <c r="B22">
        <f t="shared" si="0"/>
        <v>0.23699999999999999</v>
      </c>
      <c r="C22">
        <f t="shared" si="1"/>
        <v>0.23300000000000001</v>
      </c>
      <c r="N22" t="s">
        <v>19</v>
      </c>
      <c r="O22">
        <v>0.82099999999999995</v>
      </c>
      <c r="P22">
        <v>0.68200000000000005</v>
      </c>
    </row>
    <row r="23" spans="1:16" x14ac:dyDescent="0.35">
      <c r="A23" t="s">
        <v>22</v>
      </c>
      <c r="B23">
        <f t="shared" si="0"/>
        <v>0.86199999999999999</v>
      </c>
      <c r="C23">
        <f t="shared" si="1"/>
        <v>0.85499999999999998</v>
      </c>
      <c r="N23" t="s">
        <v>20</v>
      </c>
      <c r="O23">
        <v>0.98899999999999999</v>
      </c>
      <c r="P23">
        <v>0.98899999999999999</v>
      </c>
    </row>
    <row r="24" spans="1:16" x14ac:dyDescent="0.35">
      <c r="A24" t="s">
        <v>23</v>
      </c>
      <c r="B24">
        <f t="shared" si="0"/>
        <v>0.90800000000000003</v>
      </c>
      <c r="C24">
        <f t="shared" si="1"/>
        <v>0.81200000000000006</v>
      </c>
      <c r="N24" t="s">
        <v>21</v>
      </c>
      <c r="O24">
        <v>0.23699999999999999</v>
      </c>
      <c r="P24">
        <v>0.23300000000000001</v>
      </c>
    </row>
    <row r="25" spans="1:16" x14ac:dyDescent="0.35">
      <c r="A25" t="s">
        <v>24</v>
      </c>
      <c r="B25">
        <f t="shared" si="0"/>
        <v>0.6</v>
      </c>
      <c r="C25">
        <f t="shared" si="1"/>
        <v>0.57799999999999996</v>
      </c>
      <c r="N25" t="s">
        <v>22</v>
      </c>
      <c r="O25">
        <v>0.86199999999999999</v>
      </c>
      <c r="P25">
        <v>0.85499999999999998</v>
      </c>
    </row>
    <row r="26" spans="1:16" x14ac:dyDescent="0.35">
      <c r="A26" t="s">
        <v>25</v>
      </c>
      <c r="B26">
        <f t="shared" si="0"/>
        <v>0.46700000000000003</v>
      </c>
      <c r="C26">
        <f t="shared" si="1"/>
        <v>0.46700000000000003</v>
      </c>
      <c r="N26" t="s">
        <v>23</v>
      </c>
      <c r="O26">
        <v>0.90800000000000003</v>
      </c>
      <c r="P26">
        <v>0.81200000000000006</v>
      </c>
    </row>
    <row r="27" spans="1:16" x14ac:dyDescent="0.35">
      <c r="A27" t="s">
        <v>26</v>
      </c>
      <c r="B27">
        <f t="shared" si="0"/>
        <v>0.91900000000000004</v>
      </c>
      <c r="C27">
        <f t="shared" si="1"/>
        <v>0.90600000000000003</v>
      </c>
      <c r="N27" t="s">
        <v>24</v>
      </c>
      <c r="O27">
        <v>0.6</v>
      </c>
      <c r="P27">
        <v>0.57799999999999996</v>
      </c>
    </row>
    <row r="28" spans="1:16" x14ac:dyDescent="0.35">
      <c r="N28" t="s">
        <v>32</v>
      </c>
      <c r="O28">
        <v>0.98499999999999999</v>
      </c>
      <c r="P28">
        <v>0.98799999999999999</v>
      </c>
    </row>
    <row r="29" spans="1:16" x14ac:dyDescent="0.35">
      <c r="B29">
        <f>AVERAGE(B2:B27)</f>
        <v>0.73550000000000015</v>
      </c>
      <c r="C29">
        <f t="shared" ref="C29:D29" si="2">AVERAGE(C2:C27)</f>
        <v>0.68030769230769239</v>
      </c>
      <c r="N29" t="s">
        <v>25</v>
      </c>
      <c r="O29">
        <v>0.46700000000000003</v>
      </c>
      <c r="P29">
        <v>0.46700000000000003</v>
      </c>
    </row>
    <row r="30" spans="1:16" x14ac:dyDescent="0.35">
      <c r="N30" t="s">
        <v>26</v>
      </c>
      <c r="O30">
        <v>0.91900000000000004</v>
      </c>
      <c r="P30">
        <v>0.90600000000000003</v>
      </c>
    </row>
    <row r="31" spans="1:16" x14ac:dyDescent="0.35">
      <c r="N31" t="s">
        <v>30</v>
      </c>
      <c r="O31">
        <v>0.47299999999999998</v>
      </c>
      <c r="P31">
        <v>0.46600000000000003</v>
      </c>
    </row>
    <row r="32" spans="1:16" x14ac:dyDescent="0.35">
      <c r="N32" t="s">
        <v>179</v>
      </c>
      <c r="O32">
        <v>0.752</v>
      </c>
      <c r="P32">
        <v>0.70399999999999996</v>
      </c>
    </row>
    <row r="33" spans="14:16" x14ac:dyDescent="0.35">
      <c r="N33" t="s">
        <v>180</v>
      </c>
      <c r="O33">
        <v>1.367</v>
      </c>
      <c r="P33">
        <v>3.5670000000000002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80FB-C4C9-45EF-8BC4-106E7A285D16}">
  <dimension ref="A1:G31"/>
  <sheetViews>
    <sheetView workbookViewId="0">
      <selection activeCell="B1" sqref="B1:B27"/>
    </sheetView>
  </sheetViews>
  <sheetFormatPr defaultRowHeight="14.5" x14ac:dyDescent="0.35"/>
  <sheetData>
    <row r="1" spans="1:7" x14ac:dyDescent="0.35">
      <c r="B1" t="s">
        <v>189</v>
      </c>
      <c r="F1" t="s">
        <v>176</v>
      </c>
      <c r="G1" t="s">
        <v>189</v>
      </c>
    </row>
    <row r="2" spans="1:7" x14ac:dyDescent="0.35">
      <c r="A2" t="s">
        <v>1</v>
      </c>
      <c r="B2">
        <f>ROUND(VLOOKUP($A2,F2:G31,2,FALSE),3)</f>
        <v>0.97699999999999998</v>
      </c>
      <c r="F2" t="s">
        <v>1</v>
      </c>
      <c r="G2">
        <v>0.97699999999999998</v>
      </c>
    </row>
    <row r="3" spans="1:7" x14ac:dyDescent="0.35">
      <c r="A3" t="s">
        <v>2</v>
      </c>
      <c r="B3">
        <f t="shared" ref="B3:B27" si="0">ROUND(VLOOKUP($A3,F3:G32,2,FALSE),3)</f>
        <v>0.29299999999999998</v>
      </c>
      <c r="F3" t="s">
        <v>2</v>
      </c>
      <c r="G3">
        <v>0.29299999999999998</v>
      </c>
    </row>
    <row r="4" spans="1:7" x14ac:dyDescent="0.35">
      <c r="A4" t="s">
        <v>3</v>
      </c>
      <c r="B4">
        <f t="shared" si="0"/>
        <v>1</v>
      </c>
      <c r="F4" t="s">
        <v>3</v>
      </c>
      <c r="G4">
        <v>1</v>
      </c>
    </row>
    <row r="5" spans="1:7" x14ac:dyDescent="0.35">
      <c r="A5" t="s">
        <v>4</v>
      </c>
      <c r="B5">
        <f t="shared" si="0"/>
        <v>0.98599999999999999</v>
      </c>
      <c r="F5" t="s">
        <v>29</v>
      </c>
      <c r="G5">
        <v>0.996</v>
      </c>
    </row>
    <row r="6" spans="1:7" x14ac:dyDescent="0.35">
      <c r="A6" t="s">
        <v>5</v>
      </c>
      <c r="B6">
        <f t="shared" si="0"/>
        <v>0.60399999999999998</v>
      </c>
      <c r="F6" t="s">
        <v>4</v>
      </c>
      <c r="G6">
        <v>0.98599999999999999</v>
      </c>
    </row>
    <row r="7" spans="1:7" x14ac:dyDescent="0.35">
      <c r="A7" t="s">
        <v>6</v>
      </c>
      <c r="B7">
        <f t="shared" si="0"/>
        <v>0.91300000000000003</v>
      </c>
      <c r="F7" t="s">
        <v>5</v>
      </c>
      <c r="G7">
        <v>0.60399999999999998</v>
      </c>
    </row>
    <row r="8" spans="1:7" x14ac:dyDescent="0.35">
      <c r="A8" t="s">
        <v>7</v>
      </c>
      <c r="B8">
        <f t="shared" si="0"/>
        <v>0.72699999999999998</v>
      </c>
      <c r="F8" t="s">
        <v>7</v>
      </c>
      <c r="G8">
        <v>0.72699999999999998</v>
      </c>
    </row>
    <row r="9" spans="1:7" x14ac:dyDescent="0.35">
      <c r="A9" t="s">
        <v>8</v>
      </c>
      <c r="B9">
        <f t="shared" si="0"/>
        <v>0.97499999999999998</v>
      </c>
      <c r="F9" t="s">
        <v>8</v>
      </c>
      <c r="G9">
        <v>0.97499999999999998</v>
      </c>
    </row>
    <row r="10" spans="1:7" x14ac:dyDescent="0.35">
      <c r="A10" t="s">
        <v>9</v>
      </c>
      <c r="B10">
        <f t="shared" si="0"/>
        <v>0.30399999999999999</v>
      </c>
      <c r="F10" t="s">
        <v>6</v>
      </c>
      <c r="G10">
        <v>0.91300000000000003</v>
      </c>
    </row>
    <row r="11" spans="1:7" x14ac:dyDescent="0.35">
      <c r="A11" t="s">
        <v>10</v>
      </c>
      <c r="B11">
        <f t="shared" si="0"/>
        <v>0.63700000000000001</v>
      </c>
      <c r="F11" t="s">
        <v>9</v>
      </c>
      <c r="G11">
        <v>0.30399999999999999</v>
      </c>
    </row>
    <row r="12" spans="1:7" x14ac:dyDescent="0.35">
      <c r="A12" t="s">
        <v>11</v>
      </c>
      <c r="B12">
        <f t="shared" si="0"/>
        <v>0.52800000000000002</v>
      </c>
      <c r="F12" t="s">
        <v>10</v>
      </c>
      <c r="G12">
        <v>0.63700000000000001</v>
      </c>
    </row>
    <row r="13" spans="1:7" x14ac:dyDescent="0.35">
      <c r="A13" t="s">
        <v>12</v>
      </c>
      <c r="B13">
        <f t="shared" si="0"/>
        <v>0.32200000000000001</v>
      </c>
      <c r="F13" t="s">
        <v>11</v>
      </c>
      <c r="G13">
        <v>0.52800000000000002</v>
      </c>
    </row>
    <row r="14" spans="1:7" x14ac:dyDescent="0.35">
      <c r="A14" t="s">
        <v>13</v>
      </c>
      <c r="B14">
        <f t="shared" si="0"/>
        <v>0.56599999999999995</v>
      </c>
      <c r="F14" t="s">
        <v>12</v>
      </c>
      <c r="G14">
        <v>0.32200000000000001</v>
      </c>
    </row>
    <row r="15" spans="1:7" x14ac:dyDescent="0.35">
      <c r="A15" t="s">
        <v>14</v>
      </c>
      <c r="B15">
        <f t="shared" si="0"/>
        <v>0.74</v>
      </c>
      <c r="F15" t="s">
        <v>13</v>
      </c>
      <c r="G15">
        <v>0.56599999999999995</v>
      </c>
    </row>
    <row r="16" spans="1:7" x14ac:dyDescent="0.35">
      <c r="A16" t="s">
        <v>15</v>
      </c>
      <c r="B16">
        <f t="shared" si="0"/>
        <v>0.16400000000000001</v>
      </c>
      <c r="F16" t="s">
        <v>14</v>
      </c>
      <c r="G16">
        <v>0.74</v>
      </c>
    </row>
    <row r="17" spans="1:7" x14ac:dyDescent="0.35">
      <c r="A17" t="s">
        <v>16</v>
      </c>
      <c r="B17">
        <f t="shared" si="0"/>
        <v>0.91400000000000003</v>
      </c>
      <c r="F17" t="s">
        <v>31</v>
      </c>
      <c r="G17">
        <v>0.98</v>
      </c>
    </row>
    <row r="18" spans="1:7" x14ac:dyDescent="0.35">
      <c r="A18" t="s">
        <v>17</v>
      </c>
      <c r="B18">
        <f t="shared" si="0"/>
        <v>0.55000000000000004</v>
      </c>
      <c r="F18" t="s">
        <v>16</v>
      </c>
      <c r="G18">
        <v>0.91400000000000003</v>
      </c>
    </row>
    <row r="19" spans="1:7" x14ac:dyDescent="0.35">
      <c r="A19" t="s">
        <v>18</v>
      </c>
      <c r="B19">
        <f t="shared" si="0"/>
        <v>0.92700000000000005</v>
      </c>
      <c r="F19" t="s">
        <v>15</v>
      </c>
      <c r="G19">
        <v>0.16400000000000001</v>
      </c>
    </row>
    <row r="20" spans="1:7" x14ac:dyDescent="0.35">
      <c r="A20" t="s">
        <v>19</v>
      </c>
      <c r="B20">
        <f t="shared" si="0"/>
        <v>0.88100000000000001</v>
      </c>
      <c r="F20" t="s">
        <v>17</v>
      </c>
      <c r="G20">
        <v>0.55000000000000004</v>
      </c>
    </row>
    <row r="21" spans="1:7" x14ac:dyDescent="0.35">
      <c r="A21" t="s">
        <v>20</v>
      </c>
      <c r="B21">
        <f t="shared" si="0"/>
        <v>0.98599999999999999</v>
      </c>
      <c r="F21" t="s">
        <v>18</v>
      </c>
      <c r="G21">
        <v>0.92700000000000005</v>
      </c>
    </row>
    <row r="22" spans="1:7" x14ac:dyDescent="0.35">
      <c r="A22" t="s">
        <v>21</v>
      </c>
      <c r="B22">
        <f t="shared" si="0"/>
        <v>0.27100000000000002</v>
      </c>
      <c r="F22" t="s">
        <v>19</v>
      </c>
      <c r="G22">
        <v>0.88100000000000001</v>
      </c>
    </row>
    <row r="23" spans="1:7" x14ac:dyDescent="0.35">
      <c r="A23" t="s">
        <v>22</v>
      </c>
      <c r="B23">
        <f t="shared" si="0"/>
        <v>0.88100000000000001</v>
      </c>
      <c r="F23" t="s">
        <v>20</v>
      </c>
      <c r="G23">
        <v>0.98599999999999999</v>
      </c>
    </row>
    <row r="24" spans="1:7" x14ac:dyDescent="0.35">
      <c r="A24" t="s">
        <v>23</v>
      </c>
      <c r="B24">
        <f t="shared" si="0"/>
        <v>0.86199999999999999</v>
      </c>
      <c r="F24" t="s">
        <v>21</v>
      </c>
      <c r="G24">
        <v>0.27100000000000002</v>
      </c>
    </row>
    <row r="25" spans="1:7" x14ac:dyDescent="0.35">
      <c r="A25" t="s">
        <v>24</v>
      </c>
      <c r="B25">
        <f t="shared" si="0"/>
        <v>0.54900000000000004</v>
      </c>
      <c r="F25" t="s">
        <v>22</v>
      </c>
      <c r="G25">
        <v>0.88100000000000001</v>
      </c>
    </row>
    <row r="26" spans="1:7" x14ac:dyDescent="0.35">
      <c r="A26" t="s">
        <v>25</v>
      </c>
      <c r="B26">
        <f t="shared" si="0"/>
        <v>0.53300000000000003</v>
      </c>
      <c r="F26" t="s">
        <v>23</v>
      </c>
      <c r="G26">
        <v>0.86199999999999999</v>
      </c>
    </row>
    <row r="27" spans="1:7" x14ac:dyDescent="0.35">
      <c r="A27" t="s">
        <v>26</v>
      </c>
      <c r="B27">
        <f t="shared" si="0"/>
        <v>0.873</v>
      </c>
      <c r="F27" t="s">
        <v>24</v>
      </c>
      <c r="G27">
        <v>0.54900000000000004</v>
      </c>
    </row>
    <row r="28" spans="1:7" x14ac:dyDescent="0.35">
      <c r="F28" t="s">
        <v>32</v>
      </c>
      <c r="G28">
        <v>0.98899999999999999</v>
      </c>
    </row>
    <row r="29" spans="1:7" x14ac:dyDescent="0.35">
      <c r="A29" t="s">
        <v>190</v>
      </c>
      <c r="B29">
        <f>AVERAGE(B2:B27)</f>
        <v>0.69088461538461554</v>
      </c>
      <c r="F29" t="s">
        <v>25</v>
      </c>
      <c r="G29">
        <v>0.53300000000000003</v>
      </c>
    </row>
    <row r="30" spans="1:7" x14ac:dyDescent="0.35">
      <c r="F30" t="s">
        <v>26</v>
      </c>
      <c r="G30">
        <v>0.873</v>
      </c>
    </row>
    <row r="31" spans="1:7" x14ac:dyDescent="0.35">
      <c r="F31" t="s">
        <v>30</v>
      </c>
      <c r="G31">
        <v>0.51800000000000002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51A4-ECAE-420A-8CE6-FCBD1E07FB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4065-EC21-4EC9-9745-8043005423FD}">
  <dimension ref="A1:T29"/>
  <sheetViews>
    <sheetView tabSelected="1" workbookViewId="0">
      <selection activeCell="L17" sqref="L17"/>
    </sheetView>
  </sheetViews>
  <sheetFormatPr defaultRowHeight="14.5" x14ac:dyDescent="0.35"/>
  <cols>
    <col min="1" max="1" width="23.54296875" bestFit="1" customWidth="1"/>
  </cols>
  <sheetData>
    <row r="1" spans="1:20" x14ac:dyDescent="0.35">
      <c r="B1" t="s">
        <v>27</v>
      </c>
      <c r="C1" t="s">
        <v>181</v>
      </c>
      <c r="D1" t="s">
        <v>182</v>
      </c>
      <c r="E1" t="s">
        <v>186</v>
      </c>
      <c r="F1" t="s">
        <v>187</v>
      </c>
      <c r="G1" t="s">
        <v>188</v>
      </c>
      <c r="H1" t="s">
        <v>177</v>
      </c>
      <c r="I1" t="s">
        <v>178</v>
      </c>
      <c r="J1" t="s">
        <v>189</v>
      </c>
      <c r="L1" t="str">
        <f>B1</f>
        <v>HC2</v>
      </c>
      <c r="M1" t="str">
        <f t="shared" ref="M1:T1" si="0">C1</f>
        <v>Disjoint-CNN</v>
      </c>
      <c r="N1" t="str">
        <f t="shared" si="0"/>
        <v>XCM</v>
      </c>
      <c r="O1" t="str">
        <f t="shared" si="0"/>
        <v>LITEMVTime</v>
      </c>
      <c r="P1" t="str">
        <f t="shared" si="0"/>
        <v>ConvTran</v>
      </c>
      <c r="Q1" t="str">
        <f t="shared" si="0"/>
        <v>PatchMTSC</v>
      </c>
      <c r="R1" t="str">
        <f t="shared" si="0"/>
        <v>TimesURL</v>
      </c>
      <c r="S1" t="str">
        <f t="shared" si="0"/>
        <v>TS2Vec</v>
      </c>
      <c r="T1" t="str">
        <f t="shared" si="0"/>
        <v>RankSCL</v>
      </c>
    </row>
    <row r="2" spans="1:20" x14ac:dyDescent="0.35">
      <c r="A2" t="s">
        <v>1</v>
      </c>
      <c r="B2">
        <v>0.99299999999999999</v>
      </c>
      <c r="C2">
        <v>0.98399999999999999</v>
      </c>
      <c r="D2">
        <v>0.98299999999999998</v>
      </c>
      <c r="E2">
        <v>0.97299999999999998</v>
      </c>
      <c r="F2">
        <v>0.98299999999999998</v>
      </c>
      <c r="G2">
        <v>0.99299999999999999</v>
      </c>
      <c r="H2">
        <v>0.99</v>
      </c>
      <c r="I2">
        <v>0.98699999999999999</v>
      </c>
      <c r="J2">
        <v>0.97699999999999998</v>
      </c>
      <c r="L2">
        <f>_xlfn.RANK.AVG(B2,$B2:$J2)</f>
        <v>1.5</v>
      </c>
      <c r="M2">
        <f t="shared" ref="M2:T2" si="1">_xlfn.RANK.AVG(C2,$B2:$J2)</f>
        <v>5</v>
      </c>
      <c r="N2">
        <f t="shared" si="1"/>
        <v>6.5</v>
      </c>
      <c r="O2">
        <f t="shared" si="1"/>
        <v>9</v>
      </c>
      <c r="P2">
        <f t="shared" si="1"/>
        <v>6.5</v>
      </c>
      <c r="Q2">
        <f t="shared" si="1"/>
        <v>1.5</v>
      </c>
      <c r="R2">
        <f t="shared" si="1"/>
        <v>3</v>
      </c>
      <c r="S2">
        <f t="shared" si="1"/>
        <v>4</v>
      </c>
      <c r="T2">
        <f t="shared" si="1"/>
        <v>8</v>
      </c>
    </row>
    <row r="3" spans="1:20" x14ac:dyDescent="0.35">
      <c r="A3" t="s">
        <v>2</v>
      </c>
      <c r="B3">
        <v>0.26700000000000002</v>
      </c>
      <c r="C3">
        <v>0.375</v>
      </c>
      <c r="D3">
        <v>0.46700000000000003</v>
      </c>
      <c r="E3">
        <v>0.13300000000000001</v>
      </c>
      <c r="F3">
        <v>0.4</v>
      </c>
      <c r="G3">
        <v>0.53300000000000003</v>
      </c>
      <c r="H3">
        <v>0.4</v>
      </c>
      <c r="I3">
        <v>0.2</v>
      </c>
      <c r="J3">
        <v>0.29299999999999998</v>
      </c>
      <c r="L3">
        <f t="shared" ref="L3:L27" si="2">_xlfn.RANK.AVG(B3,$B3:$J3)</f>
        <v>7</v>
      </c>
      <c r="M3">
        <f t="shared" ref="M3:M27" si="3">_xlfn.RANK.AVG(C3,$B3:$J3)</f>
        <v>5</v>
      </c>
      <c r="N3">
        <f t="shared" ref="N3:N27" si="4">_xlfn.RANK.AVG(D3,$B3:$J3)</f>
        <v>2</v>
      </c>
      <c r="O3">
        <f t="shared" ref="O3:O27" si="5">_xlfn.RANK.AVG(E3,$B3:$J3)</f>
        <v>9</v>
      </c>
      <c r="P3">
        <f t="shared" ref="P3:P27" si="6">_xlfn.RANK.AVG(F3,$B3:$J3)</f>
        <v>3.5</v>
      </c>
      <c r="Q3">
        <f t="shared" ref="Q3:Q27" si="7">_xlfn.RANK.AVG(G3,$B3:$J3)</f>
        <v>1</v>
      </c>
      <c r="R3">
        <f t="shared" ref="R3:R27" si="8">_xlfn.RANK.AVG(H3,$B3:$J3)</f>
        <v>3.5</v>
      </c>
      <c r="S3">
        <f t="shared" ref="S3:S27" si="9">_xlfn.RANK.AVG(I3,$B3:$J3)</f>
        <v>8</v>
      </c>
      <c r="T3">
        <f t="shared" ref="T3:T27" si="10">_xlfn.RANK.AVG(J3,$B3:$J3)</f>
        <v>6</v>
      </c>
    </row>
    <row r="4" spans="1:20" x14ac:dyDescent="0.3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0.97499999999999998</v>
      </c>
      <c r="J4">
        <v>1</v>
      </c>
      <c r="L4">
        <f t="shared" si="2"/>
        <v>4.5</v>
      </c>
      <c r="M4">
        <f t="shared" si="3"/>
        <v>4.5</v>
      </c>
      <c r="N4">
        <f t="shared" si="4"/>
        <v>4.5</v>
      </c>
      <c r="O4">
        <f t="shared" si="5"/>
        <v>4.5</v>
      </c>
      <c r="P4">
        <f t="shared" si="6"/>
        <v>4.5</v>
      </c>
      <c r="Q4">
        <f t="shared" si="7"/>
        <v>4.5</v>
      </c>
      <c r="R4">
        <f t="shared" si="8"/>
        <v>4.5</v>
      </c>
      <c r="S4">
        <f t="shared" si="9"/>
        <v>9</v>
      </c>
      <c r="T4">
        <f t="shared" si="10"/>
        <v>4.5</v>
      </c>
    </row>
    <row r="5" spans="1:20" x14ac:dyDescent="0.35">
      <c r="A5" t="s">
        <v>4</v>
      </c>
      <c r="B5">
        <v>1</v>
      </c>
      <c r="C5">
        <v>0.999</v>
      </c>
      <c r="D5">
        <v>1</v>
      </c>
      <c r="E5">
        <v>0.98599999999999999</v>
      </c>
      <c r="F5">
        <v>1</v>
      </c>
      <c r="G5">
        <v>1</v>
      </c>
      <c r="H5">
        <v>1</v>
      </c>
      <c r="I5">
        <v>0.97199999999999998</v>
      </c>
      <c r="J5">
        <v>0.98599999999999999</v>
      </c>
      <c r="L5">
        <f t="shared" si="2"/>
        <v>3</v>
      </c>
      <c r="M5">
        <f t="shared" si="3"/>
        <v>6</v>
      </c>
      <c r="N5">
        <f t="shared" si="4"/>
        <v>3</v>
      </c>
      <c r="O5">
        <f t="shared" si="5"/>
        <v>7.5</v>
      </c>
      <c r="P5">
        <f t="shared" si="6"/>
        <v>3</v>
      </c>
      <c r="Q5">
        <f t="shared" si="7"/>
        <v>3</v>
      </c>
      <c r="R5">
        <f t="shared" si="8"/>
        <v>3</v>
      </c>
      <c r="S5">
        <f t="shared" si="9"/>
        <v>9</v>
      </c>
      <c r="T5">
        <f t="shared" si="10"/>
        <v>7.5</v>
      </c>
    </row>
    <row r="6" spans="1:20" x14ac:dyDescent="0.35">
      <c r="A6" t="s">
        <v>5</v>
      </c>
      <c r="B6">
        <v>0.56000000000000005</v>
      </c>
      <c r="C6">
        <v>0.64400000000000002</v>
      </c>
      <c r="D6">
        <v>0.7</v>
      </c>
      <c r="E6">
        <v>0.18</v>
      </c>
      <c r="F6">
        <v>0.62</v>
      </c>
      <c r="G6">
        <v>0.56999999999999995</v>
      </c>
      <c r="H6">
        <v>0.72</v>
      </c>
      <c r="I6">
        <v>0.68</v>
      </c>
      <c r="J6">
        <v>0.60399999999999998</v>
      </c>
      <c r="L6">
        <f t="shared" si="2"/>
        <v>8</v>
      </c>
      <c r="M6">
        <f t="shared" si="3"/>
        <v>4</v>
      </c>
      <c r="N6">
        <f t="shared" si="4"/>
        <v>2</v>
      </c>
      <c r="O6">
        <f t="shared" si="5"/>
        <v>9</v>
      </c>
      <c r="P6">
        <f t="shared" si="6"/>
        <v>5</v>
      </c>
      <c r="Q6">
        <f t="shared" si="7"/>
        <v>7</v>
      </c>
      <c r="R6">
        <f t="shared" si="8"/>
        <v>1</v>
      </c>
      <c r="S6">
        <f t="shared" si="9"/>
        <v>3</v>
      </c>
      <c r="T6">
        <f t="shared" si="10"/>
        <v>6</v>
      </c>
    </row>
    <row r="7" spans="1:20" x14ac:dyDescent="0.35">
      <c r="A7" t="s">
        <v>6</v>
      </c>
      <c r="B7">
        <v>0.98899999999999999</v>
      </c>
      <c r="C7">
        <v>0.96399999999999997</v>
      </c>
      <c r="D7">
        <v>0.13300000000000001</v>
      </c>
      <c r="E7">
        <v>0.84399999999999997</v>
      </c>
      <c r="F7">
        <v>0.96299999999999997</v>
      </c>
      <c r="G7">
        <v>0.95099999999999996</v>
      </c>
      <c r="H7">
        <v>0.98499999999999999</v>
      </c>
      <c r="I7">
        <v>0.874</v>
      </c>
      <c r="J7">
        <v>0.91300000000000003</v>
      </c>
      <c r="L7">
        <f t="shared" si="2"/>
        <v>1</v>
      </c>
      <c r="M7">
        <f t="shared" si="3"/>
        <v>3</v>
      </c>
      <c r="N7">
        <f t="shared" si="4"/>
        <v>9</v>
      </c>
      <c r="O7">
        <f t="shared" si="5"/>
        <v>8</v>
      </c>
      <c r="P7">
        <f t="shared" si="6"/>
        <v>4</v>
      </c>
      <c r="Q7">
        <f t="shared" si="7"/>
        <v>5</v>
      </c>
      <c r="R7">
        <f t="shared" si="8"/>
        <v>2</v>
      </c>
      <c r="S7">
        <f t="shared" si="9"/>
        <v>7</v>
      </c>
      <c r="T7">
        <f t="shared" si="10"/>
        <v>6</v>
      </c>
    </row>
    <row r="8" spans="1:20" x14ac:dyDescent="0.35">
      <c r="A8" t="s">
        <v>7</v>
      </c>
      <c r="B8">
        <v>0.94699999999999995</v>
      </c>
      <c r="C8">
        <v>0.59299999999999997</v>
      </c>
      <c r="D8">
        <v>0.435</v>
      </c>
      <c r="E8">
        <v>0.93899999999999995</v>
      </c>
      <c r="F8">
        <v>0.59299999999999997</v>
      </c>
      <c r="G8">
        <v>0.55700000000000005</v>
      </c>
      <c r="H8">
        <v>0.87</v>
      </c>
      <c r="I8">
        <v>0.84699999999999998</v>
      </c>
      <c r="J8">
        <v>0.72699999999999998</v>
      </c>
      <c r="L8">
        <f t="shared" si="2"/>
        <v>1</v>
      </c>
      <c r="M8">
        <f t="shared" si="3"/>
        <v>6.5</v>
      </c>
      <c r="N8">
        <f t="shared" si="4"/>
        <v>9</v>
      </c>
      <c r="O8">
        <f t="shared" si="5"/>
        <v>2</v>
      </c>
      <c r="P8">
        <f t="shared" si="6"/>
        <v>6.5</v>
      </c>
      <c r="Q8">
        <f t="shared" si="7"/>
        <v>8</v>
      </c>
      <c r="R8">
        <f t="shared" si="8"/>
        <v>3</v>
      </c>
      <c r="S8">
        <f t="shared" si="9"/>
        <v>4</v>
      </c>
      <c r="T8">
        <f t="shared" si="10"/>
        <v>5</v>
      </c>
    </row>
    <row r="9" spans="1:20" x14ac:dyDescent="0.35">
      <c r="A9" t="s">
        <v>8</v>
      </c>
      <c r="B9">
        <v>1</v>
      </c>
      <c r="C9">
        <v>0.98899999999999999</v>
      </c>
      <c r="D9">
        <v>0.99299999999999999</v>
      </c>
      <c r="E9">
        <v>0.99299999999999999</v>
      </c>
      <c r="F9">
        <v>0.98599999999999999</v>
      </c>
      <c r="G9">
        <v>0.98499999999999999</v>
      </c>
      <c r="H9">
        <v>0.97799999999999998</v>
      </c>
      <c r="I9">
        <v>0.96399999999999997</v>
      </c>
      <c r="J9">
        <v>0.97499999999999998</v>
      </c>
      <c r="L9">
        <f t="shared" si="2"/>
        <v>1</v>
      </c>
      <c r="M9">
        <f t="shared" si="3"/>
        <v>4</v>
      </c>
      <c r="N9">
        <f t="shared" si="4"/>
        <v>2.5</v>
      </c>
      <c r="O9">
        <f t="shared" si="5"/>
        <v>2.5</v>
      </c>
      <c r="P9">
        <f t="shared" si="6"/>
        <v>5</v>
      </c>
      <c r="Q9">
        <f t="shared" si="7"/>
        <v>6</v>
      </c>
      <c r="R9">
        <f t="shared" si="8"/>
        <v>7</v>
      </c>
      <c r="S9">
        <f t="shared" si="9"/>
        <v>9</v>
      </c>
      <c r="T9">
        <f t="shared" si="10"/>
        <v>8</v>
      </c>
    </row>
    <row r="10" spans="1:20" x14ac:dyDescent="0.35">
      <c r="A10" t="s">
        <v>9</v>
      </c>
      <c r="B10">
        <v>0.77200000000000002</v>
      </c>
      <c r="C10">
        <v>0.309</v>
      </c>
      <c r="D10">
        <v>0.34599999999999997</v>
      </c>
      <c r="E10">
        <v>0.69199999999999995</v>
      </c>
      <c r="F10">
        <v>0.36099999999999999</v>
      </c>
      <c r="G10">
        <v>0.623</v>
      </c>
      <c r="H10">
        <v>0.30399999999999999</v>
      </c>
      <c r="I10">
        <v>0.308</v>
      </c>
      <c r="J10">
        <v>0.30399999999999999</v>
      </c>
      <c r="L10">
        <f t="shared" si="2"/>
        <v>1</v>
      </c>
      <c r="M10">
        <f t="shared" si="3"/>
        <v>6</v>
      </c>
      <c r="N10">
        <f t="shared" si="4"/>
        <v>5</v>
      </c>
      <c r="O10">
        <f t="shared" si="5"/>
        <v>2</v>
      </c>
      <c r="P10">
        <f t="shared" si="6"/>
        <v>4</v>
      </c>
      <c r="Q10">
        <f t="shared" si="7"/>
        <v>3</v>
      </c>
      <c r="R10">
        <f t="shared" si="8"/>
        <v>8.5</v>
      </c>
      <c r="S10">
        <f t="shared" si="9"/>
        <v>7</v>
      </c>
      <c r="T10">
        <f t="shared" si="10"/>
        <v>8.5</v>
      </c>
    </row>
    <row r="11" spans="1:20" x14ac:dyDescent="0.35">
      <c r="A11" t="s">
        <v>10</v>
      </c>
      <c r="B11">
        <v>0.66</v>
      </c>
      <c r="C11">
        <v>0.56699999999999995</v>
      </c>
      <c r="D11">
        <v>0.63900000000000001</v>
      </c>
      <c r="E11">
        <v>0.61</v>
      </c>
      <c r="F11">
        <v>0.67200000000000004</v>
      </c>
      <c r="G11">
        <v>0.68</v>
      </c>
      <c r="H11">
        <v>0.60799999999999998</v>
      </c>
      <c r="I11">
        <v>0.501</v>
      </c>
      <c r="J11">
        <v>0.63700000000000001</v>
      </c>
      <c r="L11">
        <f t="shared" si="2"/>
        <v>3</v>
      </c>
      <c r="M11">
        <f t="shared" si="3"/>
        <v>8</v>
      </c>
      <c r="N11">
        <f t="shared" si="4"/>
        <v>4</v>
      </c>
      <c r="O11">
        <f t="shared" si="5"/>
        <v>6</v>
      </c>
      <c r="P11">
        <f t="shared" si="6"/>
        <v>2</v>
      </c>
      <c r="Q11">
        <f t="shared" si="7"/>
        <v>1</v>
      </c>
      <c r="R11">
        <f t="shared" si="8"/>
        <v>7</v>
      </c>
      <c r="S11">
        <f t="shared" si="9"/>
        <v>9</v>
      </c>
      <c r="T11">
        <f t="shared" si="10"/>
        <v>5</v>
      </c>
    </row>
    <row r="12" spans="1:20" x14ac:dyDescent="0.35">
      <c r="A12" t="s">
        <v>11</v>
      </c>
      <c r="B12">
        <v>0.53</v>
      </c>
      <c r="C12">
        <v>0.60399999999999998</v>
      </c>
      <c r="D12">
        <v>0.6</v>
      </c>
      <c r="E12">
        <v>0.56000000000000005</v>
      </c>
      <c r="F12">
        <v>0.56000000000000005</v>
      </c>
      <c r="G12">
        <v>0.61399999999999999</v>
      </c>
      <c r="H12">
        <v>0.66</v>
      </c>
      <c r="I12">
        <v>0.48</v>
      </c>
      <c r="J12">
        <v>0.52800000000000002</v>
      </c>
      <c r="L12">
        <f t="shared" si="2"/>
        <v>7</v>
      </c>
      <c r="M12">
        <f t="shared" si="3"/>
        <v>3</v>
      </c>
      <c r="N12">
        <f t="shared" si="4"/>
        <v>4</v>
      </c>
      <c r="O12">
        <f t="shared" si="5"/>
        <v>5.5</v>
      </c>
      <c r="P12">
        <f t="shared" si="6"/>
        <v>5.5</v>
      </c>
      <c r="Q12">
        <f t="shared" si="7"/>
        <v>2</v>
      </c>
      <c r="R12">
        <f t="shared" si="8"/>
        <v>1</v>
      </c>
      <c r="S12">
        <f t="shared" si="9"/>
        <v>9</v>
      </c>
      <c r="T12">
        <f t="shared" si="10"/>
        <v>8</v>
      </c>
    </row>
    <row r="13" spans="1:20" x14ac:dyDescent="0.35">
      <c r="A13" t="s">
        <v>12</v>
      </c>
      <c r="B13">
        <v>0.47299999999999998</v>
      </c>
      <c r="C13">
        <v>0.32400000000000001</v>
      </c>
      <c r="D13">
        <v>0.44600000000000001</v>
      </c>
      <c r="E13">
        <v>0.35099999999999998</v>
      </c>
      <c r="F13">
        <v>0.40500000000000003</v>
      </c>
      <c r="G13">
        <v>0.66200000000000003</v>
      </c>
      <c r="H13">
        <v>0.432</v>
      </c>
      <c r="I13">
        <v>0.33800000000000002</v>
      </c>
      <c r="J13">
        <v>0.32200000000000001</v>
      </c>
      <c r="L13">
        <f t="shared" si="2"/>
        <v>2</v>
      </c>
      <c r="M13">
        <f t="shared" si="3"/>
        <v>8</v>
      </c>
      <c r="N13">
        <f t="shared" si="4"/>
        <v>3</v>
      </c>
      <c r="O13">
        <f t="shared" si="5"/>
        <v>6</v>
      </c>
      <c r="P13">
        <f t="shared" si="6"/>
        <v>5</v>
      </c>
      <c r="Q13">
        <f t="shared" si="7"/>
        <v>1</v>
      </c>
      <c r="R13">
        <f t="shared" si="8"/>
        <v>4</v>
      </c>
      <c r="S13">
        <f t="shared" si="9"/>
        <v>7</v>
      </c>
      <c r="T13">
        <f t="shared" si="10"/>
        <v>9</v>
      </c>
    </row>
    <row r="14" spans="1:20" x14ac:dyDescent="0.35">
      <c r="A14" t="s">
        <v>13</v>
      </c>
      <c r="B14">
        <v>0.54800000000000004</v>
      </c>
      <c r="C14">
        <v>0.32100000000000001</v>
      </c>
      <c r="D14">
        <v>0.41199999999999998</v>
      </c>
      <c r="E14">
        <v>0.4</v>
      </c>
      <c r="F14">
        <v>0.375</v>
      </c>
      <c r="G14">
        <v>0.438</v>
      </c>
      <c r="H14">
        <v>0.46200000000000002</v>
      </c>
      <c r="I14">
        <v>0.51500000000000001</v>
      </c>
      <c r="J14">
        <v>0.56599999999999995</v>
      </c>
      <c r="L14">
        <f t="shared" si="2"/>
        <v>2</v>
      </c>
      <c r="M14">
        <f t="shared" si="3"/>
        <v>9</v>
      </c>
      <c r="N14">
        <f t="shared" si="4"/>
        <v>6</v>
      </c>
      <c r="O14">
        <f t="shared" si="5"/>
        <v>7</v>
      </c>
      <c r="P14">
        <f t="shared" si="6"/>
        <v>8</v>
      </c>
      <c r="Q14">
        <f t="shared" si="7"/>
        <v>5</v>
      </c>
      <c r="R14">
        <f t="shared" si="8"/>
        <v>4</v>
      </c>
      <c r="S14">
        <f t="shared" si="9"/>
        <v>3</v>
      </c>
      <c r="T14">
        <f t="shared" si="10"/>
        <v>1</v>
      </c>
    </row>
    <row r="15" spans="1:20" x14ac:dyDescent="0.35">
      <c r="A15" t="s">
        <v>14</v>
      </c>
      <c r="B15">
        <v>0.73199999999999998</v>
      </c>
      <c r="C15">
        <v>0.75900000000000001</v>
      </c>
      <c r="D15">
        <v>0.77600000000000002</v>
      </c>
      <c r="E15">
        <v>0.61499999999999999</v>
      </c>
      <c r="F15">
        <v>0.78500000000000003</v>
      </c>
      <c r="G15">
        <v>0.78500000000000003</v>
      </c>
      <c r="H15">
        <v>0.746</v>
      </c>
      <c r="I15">
        <v>0.68300000000000005</v>
      </c>
      <c r="J15">
        <v>0.74</v>
      </c>
      <c r="L15">
        <f t="shared" si="2"/>
        <v>7</v>
      </c>
      <c r="M15">
        <f t="shared" si="3"/>
        <v>4</v>
      </c>
      <c r="N15">
        <f t="shared" si="4"/>
        <v>3</v>
      </c>
      <c r="O15">
        <f t="shared" si="5"/>
        <v>9</v>
      </c>
      <c r="P15">
        <f t="shared" si="6"/>
        <v>1.5</v>
      </c>
      <c r="Q15">
        <f t="shared" si="7"/>
        <v>1.5</v>
      </c>
      <c r="R15">
        <f t="shared" si="8"/>
        <v>5</v>
      </c>
      <c r="S15">
        <f t="shared" si="9"/>
        <v>8</v>
      </c>
      <c r="T15">
        <f t="shared" si="10"/>
        <v>6</v>
      </c>
    </row>
    <row r="16" spans="1:20" x14ac:dyDescent="0.35">
      <c r="A16" t="s">
        <v>15</v>
      </c>
      <c r="B16">
        <v>0.64300000000000002</v>
      </c>
      <c r="C16">
        <v>0.54700000000000004</v>
      </c>
      <c r="D16">
        <v>0.61199999999999999</v>
      </c>
      <c r="E16">
        <v>0.66400000000000003</v>
      </c>
      <c r="F16">
        <v>0.61599999999999999</v>
      </c>
      <c r="G16">
        <v>0.66800000000000004</v>
      </c>
      <c r="H16">
        <v>0.60199999999999998</v>
      </c>
      <c r="I16">
        <v>0.53700000000000003</v>
      </c>
      <c r="J16">
        <v>0.16400000000000001</v>
      </c>
      <c r="L16">
        <f t="shared" si="2"/>
        <v>3</v>
      </c>
      <c r="M16">
        <f t="shared" si="3"/>
        <v>7</v>
      </c>
      <c r="N16">
        <f t="shared" si="4"/>
        <v>5</v>
      </c>
      <c r="O16">
        <f t="shared" si="5"/>
        <v>2</v>
      </c>
      <c r="P16">
        <f t="shared" si="6"/>
        <v>4</v>
      </c>
      <c r="Q16">
        <f t="shared" si="7"/>
        <v>1</v>
      </c>
      <c r="R16">
        <f t="shared" si="8"/>
        <v>6</v>
      </c>
      <c r="S16">
        <f t="shared" si="9"/>
        <v>8</v>
      </c>
      <c r="T16">
        <f t="shared" si="10"/>
        <v>9</v>
      </c>
    </row>
    <row r="17" spans="1:20" x14ac:dyDescent="0.35">
      <c r="A17" t="s">
        <v>16</v>
      </c>
      <c r="B17">
        <v>0.93300000000000005</v>
      </c>
      <c r="C17">
        <v>0.91600000000000004</v>
      </c>
      <c r="D17">
        <v>0.84399999999999997</v>
      </c>
      <c r="E17">
        <v>0.89400000000000002</v>
      </c>
      <c r="F17">
        <v>0.92800000000000005</v>
      </c>
      <c r="G17">
        <v>0.88800000000000001</v>
      </c>
      <c r="H17">
        <v>0.92200000000000004</v>
      </c>
      <c r="I17">
        <v>0.86699999999999999</v>
      </c>
      <c r="J17">
        <v>0.91400000000000003</v>
      </c>
      <c r="L17">
        <f t="shared" si="2"/>
        <v>1</v>
      </c>
      <c r="M17">
        <f t="shared" si="3"/>
        <v>4</v>
      </c>
      <c r="N17">
        <f t="shared" si="4"/>
        <v>9</v>
      </c>
      <c r="O17">
        <f t="shared" si="5"/>
        <v>6</v>
      </c>
      <c r="P17">
        <f t="shared" si="6"/>
        <v>2</v>
      </c>
      <c r="Q17">
        <f t="shared" si="7"/>
        <v>7</v>
      </c>
      <c r="R17">
        <f t="shared" si="8"/>
        <v>3</v>
      </c>
      <c r="S17">
        <f t="shared" si="9"/>
        <v>8</v>
      </c>
      <c r="T17">
        <f t="shared" si="10"/>
        <v>5</v>
      </c>
    </row>
    <row r="18" spans="1:20" x14ac:dyDescent="0.35">
      <c r="A18" t="s">
        <v>17</v>
      </c>
      <c r="B18">
        <v>0.54</v>
      </c>
      <c r="C18">
        <v>0.56899999999999995</v>
      </c>
      <c r="D18">
        <v>0.54</v>
      </c>
      <c r="E18">
        <v>0.53</v>
      </c>
      <c r="F18">
        <v>0.56000000000000005</v>
      </c>
      <c r="G18">
        <v>0.6</v>
      </c>
      <c r="H18">
        <v>0.68</v>
      </c>
      <c r="I18">
        <v>0.51</v>
      </c>
      <c r="J18">
        <v>0.55000000000000004</v>
      </c>
      <c r="L18">
        <f t="shared" si="2"/>
        <v>6.5</v>
      </c>
      <c r="M18">
        <f t="shared" si="3"/>
        <v>3</v>
      </c>
      <c r="N18">
        <f t="shared" si="4"/>
        <v>6.5</v>
      </c>
      <c r="O18">
        <f t="shared" si="5"/>
        <v>8</v>
      </c>
      <c r="P18">
        <f t="shared" si="6"/>
        <v>4</v>
      </c>
      <c r="Q18">
        <f t="shared" si="7"/>
        <v>2</v>
      </c>
      <c r="R18">
        <f t="shared" si="8"/>
        <v>1</v>
      </c>
      <c r="S18">
        <f t="shared" si="9"/>
        <v>9</v>
      </c>
      <c r="T18">
        <f t="shared" si="10"/>
        <v>5</v>
      </c>
    </row>
    <row r="19" spans="1:20" x14ac:dyDescent="0.35">
      <c r="A19" t="s">
        <v>18</v>
      </c>
      <c r="B19">
        <v>0.89400000000000002</v>
      </c>
      <c r="C19">
        <v>0.96699999999999997</v>
      </c>
      <c r="D19">
        <v>0.97799999999999998</v>
      </c>
      <c r="E19">
        <v>0.9</v>
      </c>
      <c r="F19">
        <v>0.94399999999999995</v>
      </c>
      <c r="G19">
        <v>0.95</v>
      </c>
      <c r="H19">
        <v>0.96099999999999997</v>
      </c>
      <c r="I19">
        <v>0.92800000000000005</v>
      </c>
      <c r="J19">
        <v>0.92700000000000005</v>
      </c>
      <c r="L19">
        <f t="shared" si="2"/>
        <v>9</v>
      </c>
      <c r="M19">
        <f t="shared" si="3"/>
        <v>2</v>
      </c>
      <c r="N19">
        <f t="shared" si="4"/>
        <v>1</v>
      </c>
      <c r="O19">
        <f t="shared" si="5"/>
        <v>8</v>
      </c>
      <c r="P19">
        <f t="shared" si="6"/>
        <v>5</v>
      </c>
      <c r="Q19">
        <f t="shared" si="7"/>
        <v>4</v>
      </c>
      <c r="R19">
        <f t="shared" si="8"/>
        <v>3</v>
      </c>
      <c r="S19">
        <f t="shared" si="9"/>
        <v>6</v>
      </c>
      <c r="T19">
        <f t="shared" si="10"/>
        <v>7</v>
      </c>
    </row>
    <row r="20" spans="1:20" x14ac:dyDescent="0.35">
      <c r="A20" t="s">
        <v>19</v>
      </c>
      <c r="B20">
        <v>1</v>
      </c>
      <c r="C20">
        <v>0.81699999999999995</v>
      </c>
      <c r="D20">
        <v>0.75700000000000001</v>
      </c>
      <c r="E20">
        <v>0.79200000000000004</v>
      </c>
      <c r="F20">
        <v>0.82799999999999996</v>
      </c>
      <c r="G20">
        <v>0.80400000000000005</v>
      </c>
      <c r="H20">
        <v>0.82099999999999995</v>
      </c>
      <c r="I20">
        <v>0.68200000000000005</v>
      </c>
      <c r="J20">
        <v>0.88100000000000001</v>
      </c>
      <c r="L20">
        <f t="shared" si="2"/>
        <v>1</v>
      </c>
      <c r="M20">
        <f t="shared" si="3"/>
        <v>5</v>
      </c>
      <c r="N20">
        <f t="shared" si="4"/>
        <v>8</v>
      </c>
      <c r="O20">
        <f t="shared" si="5"/>
        <v>7</v>
      </c>
      <c r="P20">
        <f t="shared" si="6"/>
        <v>3</v>
      </c>
      <c r="Q20">
        <f t="shared" si="7"/>
        <v>6</v>
      </c>
      <c r="R20">
        <f t="shared" si="8"/>
        <v>4</v>
      </c>
      <c r="S20">
        <f t="shared" si="9"/>
        <v>9</v>
      </c>
      <c r="T20">
        <f t="shared" si="10"/>
        <v>2</v>
      </c>
    </row>
    <row r="21" spans="1:20" x14ac:dyDescent="0.35">
      <c r="A21" t="s">
        <v>20</v>
      </c>
      <c r="B21">
        <v>0.97899999999999998</v>
      </c>
      <c r="C21">
        <v>0.995</v>
      </c>
      <c r="D21">
        <v>0.99099999999999999</v>
      </c>
      <c r="E21">
        <v>0.98899999999999999</v>
      </c>
      <c r="F21">
        <v>0.98699999999999999</v>
      </c>
      <c r="G21">
        <v>0.99299999999999999</v>
      </c>
      <c r="H21">
        <v>0.98899999999999999</v>
      </c>
      <c r="I21">
        <v>0.98899999999999999</v>
      </c>
      <c r="J21">
        <v>0.98599999999999999</v>
      </c>
      <c r="L21">
        <f t="shared" si="2"/>
        <v>9</v>
      </c>
      <c r="M21">
        <f t="shared" si="3"/>
        <v>1</v>
      </c>
      <c r="N21">
        <f t="shared" si="4"/>
        <v>3</v>
      </c>
      <c r="O21">
        <f t="shared" si="5"/>
        <v>5</v>
      </c>
      <c r="P21">
        <f t="shared" si="6"/>
        <v>7</v>
      </c>
      <c r="Q21">
        <f t="shared" si="7"/>
        <v>2</v>
      </c>
      <c r="R21">
        <f t="shared" si="8"/>
        <v>5</v>
      </c>
      <c r="S21">
        <f t="shared" si="9"/>
        <v>5</v>
      </c>
      <c r="T21">
        <f t="shared" si="10"/>
        <v>8</v>
      </c>
    </row>
    <row r="22" spans="1:20" x14ac:dyDescent="0.35">
      <c r="A22" t="s">
        <v>21</v>
      </c>
      <c r="B22">
        <v>0.28999999999999998</v>
      </c>
      <c r="C22">
        <v>0.28199999999999997</v>
      </c>
      <c r="D22">
        <v>0.22500000000000001</v>
      </c>
      <c r="E22">
        <v>0.158</v>
      </c>
      <c r="F22">
        <v>0.30599999999999999</v>
      </c>
      <c r="G22">
        <v>0.26100000000000001</v>
      </c>
      <c r="H22">
        <v>0.23699999999999999</v>
      </c>
      <c r="I22">
        <v>0.23300000000000001</v>
      </c>
      <c r="J22">
        <v>0.27100000000000002</v>
      </c>
      <c r="L22">
        <f t="shared" si="2"/>
        <v>2</v>
      </c>
      <c r="M22">
        <f t="shared" si="3"/>
        <v>3</v>
      </c>
      <c r="N22">
        <f t="shared" si="4"/>
        <v>8</v>
      </c>
      <c r="O22">
        <f t="shared" si="5"/>
        <v>9</v>
      </c>
      <c r="P22">
        <f t="shared" si="6"/>
        <v>1</v>
      </c>
      <c r="Q22">
        <f t="shared" si="7"/>
        <v>5</v>
      </c>
      <c r="R22">
        <f t="shared" si="8"/>
        <v>6</v>
      </c>
      <c r="S22">
        <f t="shared" si="9"/>
        <v>7</v>
      </c>
      <c r="T22">
        <f t="shared" si="10"/>
        <v>4</v>
      </c>
    </row>
    <row r="23" spans="1:20" x14ac:dyDescent="0.35">
      <c r="A23" t="s">
        <v>22</v>
      </c>
      <c r="B23">
        <v>0.90800000000000003</v>
      </c>
      <c r="C23">
        <v>0.84599999999999997</v>
      </c>
      <c r="D23">
        <v>0.89500000000000002</v>
      </c>
      <c r="E23">
        <v>0.73699999999999999</v>
      </c>
      <c r="F23">
        <v>0.86199999999999999</v>
      </c>
      <c r="G23">
        <v>0.88800000000000001</v>
      </c>
      <c r="H23">
        <v>0.86199999999999999</v>
      </c>
      <c r="I23">
        <v>0.85499999999999998</v>
      </c>
      <c r="J23">
        <v>0.88100000000000001</v>
      </c>
      <c r="L23">
        <f t="shared" si="2"/>
        <v>1</v>
      </c>
      <c r="M23">
        <f t="shared" si="3"/>
        <v>8</v>
      </c>
      <c r="N23">
        <f t="shared" si="4"/>
        <v>2</v>
      </c>
      <c r="O23">
        <f t="shared" si="5"/>
        <v>9</v>
      </c>
      <c r="P23">
        <f t="shared" si="6"/>
        <v>5.5</v>
      </c>
      <c r="Q23">
        <f t="shared" si="7"/>
        <v>3</v>
      </c>
      <c r="R23">
        <f t="shared" si="8"/>
        <v>5.5</v>
      </c>
      <c r="S23">
        <f t="shared" si="9"/>
        <v>7</v>
      </c>
      <c r="T23">
        <f t="shared" si="10"/>
        <v>4</v>
      </c>
    </row>
    <row r="24" spans="1:20" x14ac:dyDescent="0.35">
      <c r="A24" t="s">
        <v>23</v>
      </c>
      <c r="B24">
        <v>0.89100000000000001</v>
      </c>
      <c r="C24">
        <v>0.90300000000000002</v>
      </c>
      <c r="D24">
        <v>0.878</v>
      </c>
      <c r="E24">
        <v>0.73</v>
      </c>
      <c r="F24">
        <v>0.91800000000000004</v>
      </c>
      <c r="G24">
        <v>0.90400000000000003</v>
      </c>
      <c r="H24">
        <v>0.90800000000000003</v>
      </c>
      <c r="I24">
        <v>0.81200000000000006</v>
      </c>
      <c r="J24">
        <v>0.86199999999999999</v>
      </c>
      <c r="L24">
        <f t="shared" si="2"/>
        <v>5</v>
      </c>
      <c r="M24">
        <f t="shared" si="3"/>
        <v>4</v>
      </c>
      <c r="N24">
        <f t="shared" si="4"/>
        <v>6</v>
      </c>
      <c r="O24">
        <f t="shared" si="5"/>
        <v>9</v>
      </c>
      <c r="P24">
        <f t="shared" si="6"/>
        <v>1</v>
      </c>
      <c r="Q24">
        <f t="shared" si="7"/>
        <v>3</v>
      </c>
      <c r="R24">
        <f t="shared" si="8"/>
        <v>2</v>
      </c>
      <c r="S24">
        <f t="shared" si="9"/>
        <v>8</v>
      </c>
      <c r="T24">
        <f t="shared" si="10"/>
        <v>7</v>
      </c>
    </row>
    <row r="25" spans="1:20" x14ac:dyDescent="0.35">
      <c r="A25" t="s">
        <v>24</v>
      </c>
      <c r="B25">
        <v>0.5</v>
      </c>
      <c r="C25">
        <v>0.53800000000000003</v>
      </c>
      <c r="D25">
        <v>0.54400000000000004</v>
      </c>
      <c r="E25">
        <v>0.55000000000000004</v>
      </c>
      <c r="F25">
        <v>0.58299999999999996</v>
      </c>
      <c r="G25">
        <v>0.61099999999999999</v>
      </c>
      <c r="H25">
        <v>0.6</v>
      </c>
      <c r="I25">
        <v>0.57799999999999996</v>
      </c>
      <c r="J25">
        <v>0.54900000000000004</v>
      </c>
      <c r="L25">
        <f t="shared" si="2"/>
        <v>9</v>
      </c>
      <c r="M25">
        <f t="shared" si="3"/>
        <v>8</v>
      </c>
      <c r="N25">
        <f t="shared" si="4"/>
        <v>7</v>
      </c>
      <c r="O25">
        <f t="shared" si="5"/>
        <v>5</v>
      </c>
      <c r="P25">
        <f t="shared" si="6"/>
        <v>3</v>
      </c>
      <c r="Q25">
        <f t="shared" si="7"/>
        <v>1</v>
      </c>
      <c r="R25">
        <f t="shared" si="8"/>
        <v>2</v>
      </c>
      <c r="S25">
        <f t="shared" si="9"/>
        <v>4</v>
      </c>
      <c r="T25">
        <f t="shared" si="10"/>
        <v>6</v>
      </c>
    </row>
    <row r="26" spans="1:20" x14ac:dyDescent="0.35">
      <c r="A26" t="s">
        <v>25</v>
      </c>
      <c r="B26">
        <v>0.46700000000000003</v>
      </c>
      <c r="C26">
        <v>0.436</v>
      </c>
      <c r="D26">
        <v>0.4</v>
      </c>
      <c r="E26">
        <v>0.66700000000000004</v>
      </c>
      <c r="F26">
        <v>0.33300000000000002</v>
      </c>
      <c r="G26">
        <v>0.6</v>
      </c>
      <c r="H26">
        <v>0.46700000000000003</v>
      </c>
      <c r="I26">
        <v>0.46700000000000003</v>
      </c>
      <c r="J26">
        <v>0.53300000000000003</v>
      </c>
      <c r="L26">
        <f t="shared" si="2"/>
        <v>5</v>
      </c>
      <c r="M26">
        <f t="shared" si="3"/>
        <v>7</v>
      </c>
      <c r="N26">
        <f t="shared" si="4"/>
        <v>8</v>
      </c>
      <c r="O26">
        <f t="shared" si="5"/>
        <v>1</v>
      </c>
      <c r="P26">
        <f t="shared" si="6"/>
        <v>9</v>
      </c>
      <c r="Q26">
        <f t="shared" si="7"/>
        <v>2</v>
      </c>
      <c r="R26">
        <f t="shared" si="8"/>
        <v>5</v>
      </c>
      <c r="S26">
        <f t="shared" si="9"/>
        <v>5</v>
      </c>
      <c r="T26">
        <f t="shared" si="10"/>
        <v>3</v>
      </c>
    </row>
    <row r="27" spans="1:20" x14ac:dyDescent="0.35">
      <c r="A27" t="s">
        <v>26</v>
      </c>
      <c r="B27">
        <v>0.92800000000000005</v>
      </c>
      <c r="C27">
        <v>0.92400000000000004</v>
      </c>
      <c r="D27">
        <v>0.89400000000000002</v>
      </c>
      <c r="E27">
        <v>0.84699999999999998</v>
      </c>
      <c r="F27">
        <v>0.89100000000000001</v>
      </c>
      <c r="G27">
        <v>0.90300000000000002</v>
      </c>
      <c r="H27">
        <v>0.91900000000000004</v>
      </c>
      <c r="I27">
        <v>0.90600000000000003</v>
      </c>
      <c r="J27">
        <v>0.873</v>
      </c>
      <c r="L27">
        <f>_xlfn.RANK.AVG(B27,$B27:$J27)</f>
        <v>1</v>
      </c>
      <c r="M27">
        <f t="shared" si="3"/>
        <v>2</v>
      </c>
      <c r="N27">
        <f t="shared" si="4"/>
        <v>6</v>
      </c>
      <c r="O27">
        <f t="shared" si="5"/>
        <v>9</v>
      </c>
      <c r="P27">
        <f t="shared" si="6"/>
        <v>7</v>
      </c>
      <c r="Q27">
        <f t="shared" si="7"/>
        <v>5</v>
      </c>
      <c r="R27">
        <f t="shared" si="8"/>
        <v>3</v>
      </c>
      <c r="S27">
        <f t="shared" si="9"/>
        <v>4</v>
      </c>
      <c r="T27">
        <f t="shared" si="10"/>
        <v>8</v>
      </c>
    </row>
    <row r="28" spans="1:20" x14ac:dyDescent="0.35">
      <c r="A28" t="s">
        <v>191</v>
      </c>
      <c r="B28">
        <f>ROUND(AVERAGE(B1:B27),3)</f>
        <v>0.748</v>
      </c>
      <c r="C28">
        <f>ROUND(AVERAGE(C1:C27),3)</f>
        <v>0.69899999999999995</v>
      </c>
      <c r="D28">
        <f>ROUND(AVERAGE(D1:D27),3)</f>
        <v>0.67300000000000004</v>
      </c>
      <c r="E28">
        <f>ROUND(AVERAGE(E1:E27),3)</f>
        <v>0.68200000000000005</v>
      </c>
      <c r="F28">
        <f>ROUND(AVERAGE(F1:F27),3)</f>
        <v>0.71</v>
      </c>
      <c r="G28">
        <f>ROUND(AVERAGE(G1:G27),3)</f>
        <v>0.749</v>
      </c>
      <c r="H28">
        <f>ROUND(AVERAGE(H1:H27),3)</f>
        <v>0.73599999999999999</v>
      </c>
      <c r="I28">
        <f>ROUND(AVERAGE(I1:I27),3)</f>
        <v>0.68</v>
      </c>
      <c r="J28">
        <f>ROUND(AVERAGE(J1:J27),3)</f>
        <v>0.69099999999999995</v>
      </c>
      <c r="L28">
        <f>AVERAGE(L1:L27)</f>
        <v>3.9038461538461537</v>
      </c>
      <c r="M28">
        <f>AVERAGE(M1:M27)</f>
        <v>5</v>
      </c>
      <c r="N28">
        <f>AVERAGE(N1:N27)</f>
        <v>5.115384615384615</v>
      </c>
      <c r="O28">
        <f>AVERAGE(O1:O27)</f>
        <v>6.3461538461538458</v>
      </c>
      <c r="P28">
        <f>AVERAGE(P1:P27)</f>
        <v>4.4423076923076925</v>
      </c>
      <c r="Q28">
        <f>AVERAGE(Q1:Q27)</f>
        <v>3.4807692307692308</v>
      </c>
      <c r="R28">
        <f>AVERAGE(R1:R27)</f>
        <v>3.9230769230769229</v>
      </c>
      <c r="S28">
        <f>AVERAGE(S1:S27)</f>
        <v>6.7692307692307692</v>
      </c>
      <c r="T28">
        <f>AVERAGE(T1:T27)</f>
        <v>6.0192307692307692</v>
      </c>
    </row>
    <row r="29" spans="1:20" x14ac:dyDescent="0.35">
      <c r="A29" t="s">
        <v>192</v>
      </c>
      <c r="B29">
        <f>ROUND(L28,3)</f>
        <v>3.9039999999999999</v>
      </c>
      <c r="C29">
        <f t="shared" ref="C29:J29" si="11">ROUND(M28,3)</f>
        <v>5</v>
      </c>
      <c r="D29">
        <f t="shared" si="11"/>
        <v>5.1150000000000002</v>
      </c>
      <c r="E29">
        <f t="shared" si="11"/>
        <v>6.3460000000000001</v>
      </c>
      <c r="F29">
        <f t="shared" si="11"/>
        <v>4.4420000000000002</v>
      </c>
      <c r="G29">
        <f t="shared" si="11"/>
        <v>3.4809999999999999</v>
      </c>
      <c r="H29">
        <f t="shared" si="11"/>
        <v>3.923</v>
      </c>
      <c r="I29">
        <f t="shared" si="11"/>
        <v>6.7690000000000001</v>
      </c>
      <c r="J29">
        <f t="shared" si="11"/>
        <v>6.0190000000000001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ML</vt:lpstr>
      <vt:lpstr>Conv</vt:lpstr>
      <vt:lpstr>Trans</vt:lpstr>
      <vt:lpstr>Found</vt:lpstr>
      <vt:lpstr>Other</vt:lpstr>
      <vt:lpstr>Combined30</vt:lpstr>
      <vt:lpstr>Combined26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 Bagnall</cp:lastModifiedBy>
  <dcterms:created xsi:type="dcterms:W3CDTF">2015-06-05T18:17:20Z</dcterms:created>
  <dcterms:modified xsi:type="dcterms:W3CDTF">2026-04-12T14:53:31Z</dcterms:modified>
</cp:coreProperties>
</file>